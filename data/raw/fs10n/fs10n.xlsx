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elo-my.sharepoint.com/personal/t2306stp_prestadorcbmp_com_br/Documents/Documentos/SAP/SAP GUI/"/>
    </mc:Choice>
  </mc:AlternateContent>
  <xr:revisionPtr revIDLastSave="0" documentId="8_{F174E360-1F55-4799-BE70-3DFAA084D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Sheet1!$A$1:$P$904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900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90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8" i="1"/>
  <c r="G118" i="1"/>
  <c r="G902" i="1"/>
  <c r="G904" i="1"/>
  <c r="G899" i="1"/>
  <c r="G903" i="1"/>
  <c r="G897" i="1"/>
  <c r="G231" i="1"/>
  <c r="G895" i="1"/>
  <c r="G896" i="1"/>
  <c r="G2" i="1"/>
</calcChain>
</file>

<file path=xl/sharedStrings.xml><?xml version="1.0" encoding="utf-8"?>
<sst xmlns="http://schemas.openxmlformats.org/spreadsheetml/2006/main" count="9956" uniqueCount="1307">
  <si>
    <t/>
  </si>
  <si>
    <t>4101021085</t>
  </si>
  <si>
    <t>20260911</t>
  </si>
  <si>
    <t>2026/09</t>
  </si>
  <si>
    <t>RV</t>
  </si>
  <si>
    <t>90020209</t>
  </si>
  <si>
    <t>437722        EMPREENDIMENTOS  3642</t>
  </si>
  <si>
    <t>CBPE</t>
  </si>
  <si>
    <t>1159999999</t>
  </si>
  <si>
    <t>90020116</t>
  </si>
  <si>
    <t>437629        CINEMARK BRASIL  2179</t>
  </si>
  <si>
    <t>90020133</t>
  </si>
  <si>
    <t>437646        DROGAL FARMACEUT 5886</t>
  </si>
  <si>
    <t>90020055</t>
  </si>
  <si>
    <t>437568        TAM LINHAS AEREA 2000</t>
  </si>
  <si>
    <t>90020525</t>
  </si>
  <si>
    <t>438215        KALUNGA SA       2016</t>
  </si>
  <si>
    <t>90020246</t>
  </si>
  <si>
    <t>437759        NOVA TECH SERVIC 6150</t>
  </si>
  <si>
    <t>20260910</t>
  </si>
  <si>
    <t>90020037</t>
  </si>
  <si>
    <t>435496        MAIS MOBI SERVIC 6383</t>
  </si>
  <si>
    <t>90020108</t>
  </si>
  <si>
    <t>437621        CANON DO BRASIL  2047</t>
  </si>
  <si>
    <t>90020078</t>
  </si>
  <si>
    <t>437591        FRIGELAR COMERCI 4159</t>
  </si>
  <si>
    <t>90020088</t>
  </si>
  <si>
    <t>437601        P4 PAGAMENTOS LT 4832</t>
  </si>
  <si>
    <t>90020060</t>
  </si>
  <si>
    <t>437573        WINDSOR ADMINIST 3078</t>
  </si>
  <si>
    <t>90020391</t>
  </si>
  <si>
    <t>438013        INSIDER COMERCIO 5964</t>
  </si>
  <si>
    <t>90020099</t>
  </si>
  <si>
    <t>437612        BEMOL S/A        3723</t>
  </si>
  <si>
    <t>90020038</t>
  </si>
  <si>
    <t>434456        MAIS MOBI SERVIC 6383</t>
  </si>
  <si>
    <t>90020256</t>
  </si>
  <si>
    <t>437769        VIACAO PIRACICAB 4501</t>
  </si>
  <si>
    <t>90020047</t>
  </si>
  <si>
    <t>437560        ALELO INSTITUICA 1021</t>
  </si>
  <si>
    <t>90020079</t>
  </si>
  <si>
    <t>437592        SAO PAULO FUTEBO 2374</t>
  </si>
  <si>
    <t>90020098</t>
  </si>
  <si>
    <t>437611        BELENUS LTDA     5885</t>
  </si>
  <si>
    <t>90020204</t>
  </si>
  <si>
    <t>437717        METRO BH S.A.    5621</t>
  </si>
  <si>
    <t>90020039</t>
  </si>
  <si>
    <t>434593        MAIS MOBI SERVIC 6383</t>
  </si>
  <si>
    <t>90020048</t>
  </si>
  <si>
    <t>437561        AMWAY DO BRASIL  2117</t>
  </si>
  <si>
    <t>90020488</t>
  </si>
  <si>
    <t>438153        PAYZU PAGAMENTOS 6095</t>
  </si>
  <si>
    <t>90020152</t>
  </si>
  <si>
    <t>437665        GAZIN INDUSTRIA  4051</t>
  </si>
  <si>
    <t>90020249</t>
  </si>
  <si>
    <t>437762        TRAVEL PARTNER B 2764</t>
  </si>
  <si>
    <t>90020135</t>
  </si>
  <si>
    <t>437648        EDITORA FTD S A  1632</t>
  </si>
  <si>
    <t>90020189</t>
  </si>
  <si>
    <t>437702        KONTIK FRANSTUR  1635</t>
  </si>
  <si>
    <t>90020153</t>
  </si>
  <si>
    <t>437666        GLOBO COMUNICACA 3136</t>
  </si>
  <si>
    <t>90020103</t>
  </si>
  <si>
    <t>437616        BRF S.A.         4827</t>
  </si>
  <si>
    <t>90020210</t>
  </si>
  <si>
    <t>437723        PAGUEVELOZ INSTI 5473</t>
  </si>
  <si>
    <t>90020660</t>
  </si>
  <si>
    <t>438385        LOWIFY PAGAMENTO 6866</t>
  </si>
  <si>
    <t>20260908</t>
  </si>
  <si>
    <t>90020036</t>
  </si>
  <si>
    <t>EDITORA GLOBO S/ 3023</t>
  </si>
  <si>
    <t>90020062</t>
  </si>
  <si>
    <t>437575        HIPER CARIJOS LT 6101</t>
  </si>
  <si>
    <t>90020174</t>
  </si>
  <si>
    <t>437687        LIDER FRANQUIAS  2446</t>
  </si>
  <si>
    <t>90020070</t>
  </si>
  <si>
    <t>437583        ESTRATEGIA CONCU 6352</t>
  </si>
  <si>
    <t>90020617</t>
  </si>
  <si>
    <t>438334        PAY PAGAMENTOS S 6811</t>
  </si>
  <si>
    <t>90020072</t>
  </si>
  <si>
    <t>437585        LUPO S.A.        6264</t>
  </si>
  <si>
    <t>90020629</t>
  </si>
  <si>
    <t>438348        TELEXPERTS TELEC 6848</t>
  </si>
  <si>
    <t>90020263</t>
  </si>
  <si>
    <t>437778        MARTINS COMERCIO 3462</t>
  </si>
  <si>
    <t>90020655</t>
  </si>
  <si>
    <t>438379        CHEFE DO BENEFIC 6930</t>
  </si>
  <si>
    <t>90020144</t>
  </si>
  <si>
    <t>437657        FENG - FAN ENGAG 4547</t>
  </si>
  <si>
    <t>90020350</t>
  </si>
  <si>
    <t>437939        SMR PARTICIPACOE 5472</t>
  </si>
  <si>
    <t>90020073</t>
  </si>
  <si>
    <t>437586        PAGUE MENOS COME 6176</t>
  </si>
  <si>
    <t>90020074</t>
  </si>
  <si>
    <t>437587        SAVEGNAGO-SUPERM 5857</t>
  </si>
  <si>
    <t>90020069</t>
  </si>
  <si>
    <t>437582        BRAVIUM S.A      2167</t>
  </si>
  <si>
    <t>90020190</t>
  </si>
  <si>
    <t>437703        LARROUDE COMERCI 6318</t>
  </si>
  <si>
    <t>90020053</t>
  </si>
  <si>
    <t>437566        HOSTGATOR BRASIL 4069</t>
  </si>
  <si>
    <t>90020478</t>
  </si>
  <si>
    <t>438138        BRAMEX COMERCIO  5654</t>
  </si>
  <si>
    <t>90020659</t>
  </si>
  <si>
    <t>438384        BANCO INTER S.A  1105</t>
  </si>
  <si>
    <t>90020631</t>
  </si>
  <si>
    <t>438352        FREITAS &amp; BIANCH 6874</t>
  </si>
  <si>
    <t>90020455</t>
  </si>
  <si>
    <t>438110        OBJETIVO 1220 CO 6261</t>
  </si>
  <si>
    <t>90020198</t>
  </si>
  <si>
    <t>437711        ILHA DO SOL AGEN 4010</t>
  </si>
  <si>
    <t>90020585</t>
  </si>
  <si>
    <t>438298        BEYOND TECNOLOGI 6745</t>
  </si>
  <si>
    <t>90020117</t>
  </si>
  <si>
    <t>437630        CLICK DIGITAL SO 6686</t>
  </si>
  <si>
    <t>90020550</t>
  </si>
  <si>
    <t>438247        GAYAH PRODUTOS N 6558</t>
  </si>
  <si>
    <t>90020130</t>
  </si>
  <si>
    <t>437643        QUANTITY SERVICO 4083</t>
  </si>
  <si>
    <t>90020485</t>
  </si>
  <si>
    <t>438150        YUME SOLUCOES EM 6351</t>
  </si>
  <si>
    <t>90020187</t>
  </si>
  <si>
    <t>437700        SUPERMERCADOS JA 5600</t>
  </si>
  <si>
    <t>90020161</t>
  </si>
  <si>
    <t>437674        GLOBAL DISTRIBUI 4205</t>
  </si>
  <si>
    <t>90020049</t>
  </si>
  <si>
    <t>437562        4 BIO MEDICAMENT 2073</t>
  </si>
  <si>
    <t>90020050</t>
  </si>
  <si>
    <t>437563        EHTL VIAGENS LTD 1492</t>
  </si>
  <si>
    <t>90020102</t>
  </si>
  <si>
    <t>437615        MOVEIS B P LTDA  6203</t>
  </si>
  <si>
    <t>90020051</t>
  </si>
  <si>
    <t>437564        INBRANDS S.A     1424</t>
  </si>
  <si>
    <t>90020076</t>
  </si>
  <si>
    <t>437589        COVABRA SUPERMER 2758</t>
  </si>
  <si>
    <t>90020086</t>
  </si>
  <si>
    <t>437599        AMIL ASSISTENCIA 2470</t>
  </si>
  <si>
    <t>90020195</t>
  </si>
  <si>
    <t>437708        FITEX INDUSTRIAL 6624</t>
  </si>
  <si>
    <t>90020126</t>
  </si>
  <si>
    <t>437639        DIAGNOSTICOS DA  2457</t>
  </si>
  <si>
    <t>90020080</t>
  </si>
  <si>
    <t>437593        VOTORANTIM CIMEN 1291</t>
  </si>
  <si>
    <t>90020293</t>
  </si>
  <si>
    <t>437831        BRASIF S/A EXPOR 3371</t>
  </si>
  <si>
    <t>90020092</t>
  </si>
  <si>
    <t>437605        COOPERATIVA CENT 6019</t>
  </si>
  <si>
    <t>90020225</t>
  </si>
  <si>
    <t>437738        PAULISTA PRAIA H 5347</t>
  </si>
  <si>
    <t>90020376</t>
  </si>
  <si>
    <t>437989        FRANQUEADORA O B 5831</t>
  </si>
  <si>
    <t>90020093</t>
  </si>
  <si>
    <t>437606        BANCORBRAS TURIS 4438</t>
  </si>
  <si>
    <t>90020154</t>
  </si>
  <si>
    <t>437667        VD COMERCIO DE V 5290</t>
  </si>
  <si>
    <t>90020066</t>
  </si>
  <si>
    <t>437579        ANHANGUERA COMER 6081</t>
  </si>
  <si>
    <t>90020239</t>
  </si>
  <si>
    <t>437752        CONSTRUDECOR S/A 5385</t>
  </si>
  <si>
    <t>90020168</t>
  </si>
  <si>
    <t>437681        IWS COMERCIO LTD 6110</t>
  </si>
  <si>
    <t>90020120</t>
  </si>
  <si>
    <t>437633        JAD ZOGHEIB &amp; CI 4816</t>
  </si>
  <si>
    <t>90020218</t>
  </si>
  <si>
    <t>437731        PAYSCOUT BRASIL  5581</t>
  </si>
  <si>
    <t>90020077</t>
  </si>
  <si>
    <t>437590        EDITORA DO BRASI 5156</t>
  </si>
  <si>
    <t>90020480</t>
  </si>
  <si>
    <t>438141        JV MARKETPLACE J 3943</t>
  </si>
  <si>
    <t>90020351</t>
  </si>
  <si>
    <t>437940        BANCO BRADESCO S 1090</t>
  </si>
  <si>
    <t>90020223</t>
  </si>
  <si>
    <t>437736        PMZ DISTRIBUIDOR 5371</t>
  </si>
  <si>
    <t>236801-A</t>
  </si>
  <si>
    <t>90020196</t>
  </si>
  <si>
    <t>437709        CIA BEAL DE ALIM 3954</t>
  </si>
  <si>
    <t>20260914</t>
  </si>
  <si>
    <t>90020666</t>
  </si>
  <si>
    <t>CIA BEAL DE ALIM 6971</t>
  </si>
  <si>
    <t>90020142</t>
  </si>
  <si>
    <t>437655        E-GR COMERCIO DE 5907</t>
  </si>
  <si>
    <t>90020199</t>
  </si>
  <si>
    <t>437712        MADEIRANIT PARTI 5104</t>
  </si>
  <si>
    <t>90020112</t>
  </si>
  <si>
    <t>437625        CENCOSUD BRASIL  5605</t>
  </si>
  <si>
    <t>90020354</t>
  </si>
  <si>
    <t>437945        WHITE MARTINS GA 5612</t>
  </si>
  <si>
    <t>90020067</t>
  </si>
  <si>
    <t>437580        B2 PNEUS LTDA    6430</t>
  </si>
  <si>
    <t>90020084</t>
  </si>
  <si>
    <t>437597        ALLIAGE S/A INDU 5695</t>
  </si>
  <si>
    <t>90020148</t>
  </si>
  <si>
    <t>437661        FORTLEV ENERGIA  5222</t>
  </si>
  <si>
    <t>90020323</t>
  </si>
  <si>
    <t>437890        REDIT COMERCIO E 5132</t>
  </si>
  <si>
    <t>90020219</t>
  </si>
  <si>
    <t>437732        PHB ELETRONICA L 5611</t>
  </si>
  <si>
    <t>90020482</t>
  </si>
  <si>
    <t>438144        PITUCHINHUS INDU 6363</t>
  </si>
  <si>
    <t>90020234</t>
  </si>
  <si>
    <t>437747        HOTEIS ROYAL PAL 2738</t>
  </si>
  <si>
    <t>90020159</t>
  </si>
  <si>
    <t>437672        FAST SOLUTION -  5016</t>
  </si>
  <si>
    <t>90020125</t>
  </si>
  <si>
    <t>437638        DAGER COMERCIO A 6098</t>
  </si>
  <si>
    <t>90020138</t>
  </si>
  <si>
    <t>437651        LION CORP EVENTO 5176</t>
  </si>
  <si>
    <t>90020205</t>
  </si>
  <si>
    <t>437718        MINERVA S.A.     2869</t>
  </si>
  <si>
    <t>90020553</t>
  </si>
  <si>
    <t>438250        DAGER COMERCIO A 6098</t>
  </si>
  <si>
    <t>90020177</t>
  </si>
  <si>
    <t>437690        TRANSAMERICA DE  5331</t>
  </si>
  <si>
    <t>90020096</t>
  </si>
  <si>
    <t>437609        BEACH PARK HOTEI 3681</t>
  </si>
  <si>
    <t>90020206</t>
  </si>
  <si>
    <t>437719        CR INDUSTRIA COM 6570</t>
  </si>
  <si>
    <t>90020065</t>
  </si>
  <si>
    <t>437578        CENTERSPORT ARTI 6382</t>
  </si>
  <si>
    <t>90020529</t>
  </si>
  <si>
    <t>438222        CK AMORIM COMERC 6585</t>
  </si>
  <si>
    <t>90020089</t>
  </si>
  <si>
    <t>437602        CLAUDINO S A LOJ 5514</t>
  </si>
  <si>
    <t>90020061</t>
  </si>
  <si>
    <t>437574        GIORDANI TURISMO 5637</t>
  </si>
  <si>
    <t>90020568</t>
  </si>
  <si>
    <t>438275        CERVEJARIA PETRO 6029</t>
  </si>
  <si>
    <t>90020648</t>
  </si>
  <si>
    <t>438370        CASA UNICA MATER 6942</t>
  </si>
  <si>
    <t>90020567</t>
  </si>
  <si>
    <t>438274        COMERCIAL CIRURG 4535</t>
  </si>
  <si>
    <t>90020121</t>
  </si>
  <si>
    <t>437634        J C COMERCIO DE  6491</t>
  </si>
  <si>
    <t>90020238</t>
  </si>
  <si>
    <t>437751        SAN JUAN HOTEIS  6915</t>
  </si>
  <si>
    <t>90020537</t>
  </si>
  <si>
    <t>438232        ALFA  AGENCIA DE 6547</t>
  </si>
  <si>
    <t>90020127</t>
  </si>
  <si>
    <t>437640        DFS HOLDING S.A. 1737</t>
  </si>
  <si>
    <t>90020068</t>
  </si>
  <si>
    <t>437581        ENGEMETAL COMERC 6360</t>
  </si>
  <si>
    <t>90020633</t>
  </si>
  <si>
    <t>438354        RODRIGUES INDUST 6805</t>
  </si>
  <si>
    <t>90020244</t>
  </si>
  <si>
    <t>437757        TECIDOS E ARMARI 5340</t>
  </si>
  <si>
    <t>90020477</t>
  </si>
  <si>
    <t>438137        I-RETAIL SERVICO 6326</t>
  </si>
  <si>
    <t>90020191</t>
  </si>
  <si>
    <t>437704        LIDER INDUSTRIA  6682</t>
  </si>
  <si>
    <t>90020200</t>
  </si>
  <si>
    <t>437713        MALAI MANSO HOTE 3858</t>
  </si>
  <si>
    <t>90020111</t>
  </si>
  <si>
    <t>437624        NOVA GERACAO COM 6192</t>
  </si>
  <si>
    <t>90020064</t>
  </si>
  <si>
    <t>437577        WELEDA DO BRASIL 6698</t>
  </si>
  <si>
    <t>90020157</t>
  </si>
  <si>
    <t>437670        LAGOA THERMAS CL 5777</t>
  </si>
  <si>
    <t>90020365</t>
  </si>
  <si>
    <t>437974        MAZZAROPI HOTEIS 5749</t>
  </si>
  <si>
    <t>90020139</t>
  </si>
  <si>
    <t>437652        E-PECA DESENVOLV 6202</t>
  </si>
  <si>
    <t>90020220</t>
  </si>
  <si>
    <t>437733        PISOLAR COMERCIO 6522</t>
  </si>
  <si>
    <t>90020071</t>
  </si>
  <si>
    <t>437584        PIVOT 30 INDUSTR 5699</t>
  </si>
  <si>
    <t>90020075</t>
  </si>
  <si>
    <t>437588        ZAPPING DO BRASI 6149</t>
  </si>
  <si>
    <t>90020147</t>
  </si>
  <si>
    <t>437660        FLEXFORM INDUSTR 6178</t>
  </si>
  <si>
    <t>90020141</t>
  </si>
  <si>
    <t>437654        EVENTPLACE SOLUC 6769</t>
  </si>
  <si>
    <t>90020347</t>
  </si>
  <si>
    <t>437931        BUNGE ALIMENTOS  5185</t>
  </si>
  <si>
    <t>90020197</t>
  </si>
  <si>
    <t>437710        VISTACOR INDUSTR 4102</t>
  </si>
  <si>
    <t>90020172</t>
  </si>
  <si>
    <t>437685        TERRA PARQUE ECO 6602</t>
  </si>
  <si>
    <t>90020584</t>
  </si>
  <si>
    <t>438296        DIMENSIONAL BRAS 3057</t>
  </si>
  <si>
    <t>90020334</t>
  </si>
  <si>
    <t>437905        GIASSI &amp; CIA LTD 5255</t>
  </si>
  <si>
    <t>90020158</t>
  </si>
  <si>
    <t>437671        IRMAOS BOA LTDA  5138</t>
  </si>
  <si>
    <t>90020408</t>
  </si>
  <si>
    <t>438042        MORIKAWA COMERCI 6115</t>
  </si>
  <si>
    <t>90020599</t>
  </si>
  <si>
    <t>438315        C M BRASIL LTDA  6751</t>
  </si>
  <si>
    <t>90020602</t>
  </si>
  <si>
    <t>438318        GOD FIRE INTERME 6748</t>
  </si>
  <si>
    <t>90020603</t>
  </si>
  <si>
    <t>438319        FERRONIX DISTRIB 6752</t>
  </si>
  <si>
    <t>90020656</t>
  </si>
  <si>
    <t>438380        LUMEN PIXEL DIGI 6853</t>
  </si>
  <si>
    <t>90020282</t>
  </si>
  <si>
    <t>437812        SABEMI SEGURADOR 4146</t>
  </si>
  <si>
    <t>90020578</t>
  </si>
  <si>
    <t>438286        PIXINTEGRA SOLUC 6681</t>
  </si>
  <si>
    <t>90020589</t>
  </si>
  <si>
    <t>438304        EMPREENDIMENTOS  6734</t>
  </si>
  <si>
    <t>90020598</t>
  </si>
  <si>
    <t>438314        MEGA EVENTOS E P 6750</t>
  </si>
  <si>
    <t>90020237</t>
  </si>
  <si>
    <t>437750        TELECOMUNICACOES 6317</t>
  </si>
  <si>
    <t>90020217</t>
  </si>
  <si>
    <t>437730        PERIMETRAL COMER 6293</t>
  </si>
  <si>
    <t>90020261</t>
  </si>
  <si>
    <t>437774        WISH S.A.        5227</t>
  </si>
  <si>
    <t>90020587</t>
  </si>
  <si>
    <t>438302        OTICAS PARIS LTD 6727</t>
  </si>
  <si>
    <t>90020447</t>
  </si>
  <si>
    <t>438101        COMPANHIA SULAME 5618</t>
  </si>
  <si>
    <t>90020538</t>
  </si>
  <si>
    <t>438233        DANIELA TOMBINI  6538</t>
  </si>
  <si>
    <t>90020045</t>
  </si>
  <si>
    <t>438154        FORTALEZA DE SAN 6364</t>
  </si>
  <si>
    <t>90020043</t>
  </si>
  <si>
    <t>IRMAOS ANDREAZZA 6777</t>
  </si>
  <si>
    <t>90020250</t>
  </si>
  <si>
    <t>437763        T.T. OPERADORA T 2194</t>
  </si>
  <si>
    <t>90020285</t>
  </si>
  <si>
    <t>437817        USEBENS SEGUROS  2114</t>
  </si>
  <si>
    <t>90020297</t>
  </si>
  <si>
    <t>437836        LOJAS SIMONETTI  3310</t>
  </si>
  <si>
    <t>90020057</t>
  </si>
  <si>
    <t>437570        OBRAS SOCIAIS DA 2712</t>
  </si>
  <si>
    <t>90020242</t>
  </si>
  <si>
    <t>437755        SONHO DO ARTESAO 6097</t>
  </si>
  <si>
    <t>90020224</t>
  </si>
  <si>
    <t>437737        PNEUBRAS COMERCI 5931</t>
  </si>
  <si>
    <t>90020040</t>
  </si>
  <si>
    <t>0000086718    MAIS MOBI SERVIC 6383</t>
  </si>
  <si>
    <t>90020291</t>
  </si>
  <si>
    <t>437829        CALCADOS MARTE L 4204</t>
  </si>
  <si>
    <t>90020276</t>
  </si>
  <si>
    <t>437805        COSTAO DO SANTIN 4077</t>
  </si>
  <si>
    <t>90020588</t>
  </si>
  <si>
    <t>438303        FABRICA DIGITAL  6728</t>
  </si>
  <si>
    <t>90020259</t>
  </si>
  <si>
    <t>437772        V M CARDOSO LETT 6384</t>
  </si>
  <si>
    <t>90020430</t>
  </si>
  <si>
    <t>438082        BEYOUNG COSMETIC 2254</t>
  </si>
  <si>
    <t>90020504</t>
  </si>
  <si>
    <t>438182        MAFE ACESSORIOS  6444</t>
  </si>
  <si>
    <t>90020327</t>
  </si>
  <si>
    <t>437896        E-TALITA CONFECC 5181</t>
  </si>
  <si>
    <t>90020083</t>
  </si>
  <si>
    <t>437596        LABORATORIO DE F 6424</t>
  </si>
  <si>
    <t>90020241</t>
  </si>
  <si>
    <t>437754        SOL E FLORA LTDA 6211</t>
  </si>
  <si>
    <t>90020592</t>
  </si>
  <si>
    <t>438307        BEMOL SERVICOS F 6757</t>
  </si>
  <si>
    <t>90020496</t>
  </si>
  <si>
    <t>438169        LFSP CALCADOS E  6414</t>
  </si>
  <si>
    <t>90020260</t>
  </si>
  <si>
    <t>437773        WISH S.A.        5322</t>
  </si>
  <si>
    <t>90020607</t>
  </si>
  <si>
    <t>438324        FAST FERRAMENTAS 6806</t>
  </si>
  <si>
    <t>90020255</t>
  </si>
  <si>
    <t>437768        VCT BRASIL IMPOR 6627</t>
  </si>
  <si>
    <t>90020523</t>
  </si>
  <si>
    <t>438211        MERIDIAN DISTRIB 6535</t>
  </si>
  <si>
    <t>90020593</t>
  </si>
  <si>
    <t>438308        ILHA TOUR AGENCI 6762</t>
  </si>
  <si>
    <t>90020630</t>
  </si>
  <si>
    <t>438351        EDITORA E LIVRAR 6870</t>
  </si>
  <si>
    <t>90020404</t>
  </si>
  <si>
    <t>438038        ACELERAI CONTEUD 6125</t>
  </si>
  <si>
    <t>90020413</t>
  </si>
  <si>
    <t>438052        ELETROMAR MOVEIS 6073</t>
  </si>
  <si>
    <t>90020105</t>
  </si>
  <si>
    <t>437618        BSB SERVICOS DE  3572</t>
  </si>
  <si>
    <t>90020296</t>
  </si>
  <si>
    <t>437835        PIRULITO MODA MI 3827</t>
  </si>
  <si>
    <t>90020319</t>
  </si>
  <si>
    <t>437882        COOPERFLORA-COOP 4604</t>
  </si>
  <si>
    <t>90020183</t>
  </si>
  <si>
    <t>437696        PEREIRA E SILVA  5748</t>
  </si>
  <si>
    <t>90020227</t>
  </si>
  <si>
    <t>437740        WISH S.A.        5256</t>
  </si>
  <si>
    <t>90020302</t>
  </si>
  <si>
    <t>437847        WISH S.A.        5238</t>
  </si>
  <si>
    <t>90020329</t>
  </si>
  <si>
    <t>437898        WISH S.A.        5230</t>
  </si>
  <si>
    <t>90020330</t>
  </si>
  <si>
    <t>437900        WISH S.A.        5226</t>
  </si>
  <si>
    <t>90020331</t>
  </si>
  <si>
    <t>437901        WISH S.A.        5257</t>
  </si>
  <si>
    <t>90020332</t>
  </si>
  <si>
    <t>437903        WISH S.A.        5235</t>
  </si>
  <si>
    <t>90020140</t>
  </si>
  <si>
    <t>437653        GENTIL NEGOCIOS  4777</t>
  </si>
  <si>
    <t>90020041</t>
  </si>
  <si>
    <t>INDUSTRIA E COME 1591</t>
  </si>
  <si>
    <t>90020645</t>
  </si>
  <si>
    <t>438367        JARDIM DO ALCHYM 6931</t>
  </si>
  <si>
    <t>90020373</t>
  </si>
  <si>
    <t>437986        SO MULTAS FRANCH 5803</t>
  </si>
  <si>
    <t>90020429</t>
  </si>
  <si>
    <t>438076        REDEMOB CONSORCI 6198</t>
  </si>
  <si>
    <t>90020185</t>
  </si>
  <si>
    <t>437698        LATAM DISTRIBUID 2138</t>
  </si>
  <si>
    <t>90020124</t>
  </si>
  <si>
    <t>437637        CURUPY ACQUA PAR 5731</t>
  </si>
  <si>
    <t>90020398</t>
  </si>
  <si>
    <t>438026        TREVILUB COMERCI 5934</t>
  </si>
  <si>
    <t>90020156</t>
  </si>
  <si>
    <t>437669        SDB COMERCIO DE  4665</t>
  </si>
  <si>
    <t>90020281</t>
  </si>
  <si>
    <t>437810        GRUPO HOSPITALAR 3005</t>
  </si>
  <si>
    <t>90020590</t>
  </si>
  <si>
    <t>438305        MUNDO CARDS LTDA 6742</t>
  </si>
  <si>
    <t>90020651</t>
  </si>
  <si>
    <t>438373        BASIC &amp; CO LTDA  6945</t>
  </si>
  <si>
    <t>90020104</t>
  </si>
  <si>
    <t>437617        BROCKER TURISMO  5125</t>
  </si>
  <si>
    <t>90020308</t>
  </si>
  <si>
    <t>437855        DARKSIDE STORE C 4541</t>
  </si>
  <si>
    <t>90020247</t>
  </si>
  <si>
    <t>437760        TORRES BIJUTERIA 6106</t>
  </si>
  <si>
    <t>90020046</t>
  </si>
  <si>
    <t>437559        RAVI TECIDOS LTD 4415</t>
  </si>
  <si>
    <t>90020385</t>
  </si>
  <si>
    <t>438000        NUTRADO INDUSTRI 5899</t>
  </si>
  <si>
    <t>90020211</t>
  </si>
  <si>
    <t>437724        E.H. CAMARGO LTD 5914</t>
  </si>
  <si>
    <t>90020328</t>
  </si>
  <si>
    <t>437897        GNC COMERCIO DE  5293</t>
  </si>
  <si>
    <t>90020336</t>
  </si>
  <si>
    <t>437909        KURUMA VEICULOS  5312</t>
  </si>
  <si>
    <t>90020337</t>
  </si>
  <si>
    <t>437910        SANTA EMILIA MOT 5270</t>
  </si>
  <si>
    <t>90020338</t>
  </si>
  <si>
    <t>437911        AB COMERCIO DE V 5313</t>
  </si>
  <si>
    <t>90020339</t>
  </si>
  <si>
    <t>437912        HAI AUTOMOVEIS L 5296</t>
  </si>
  <si>
    <t>90020356</t>
  </si>
  <si>
    <t>437949        RAMIRES MOTORS L 5455</t>
  </si>
  <si>
    <t>90020362</t>
  </si>
  <si>
    <t>437963        MERCOSUL VEICULO 5428</t>
  </si>
  <si>
    <t>90020368</t>
  </si>
  <si>
    <t>437980        TERRA FORTE DO N 5768</t>
  </si>
  <si>
    <t>90020248</t>
  </si>
  <si>
    <t>437761        INTER JAPAN VEIC 5206</t>
  </si>
  <si>
    <t>90020326</t>
  </si>
  <si>
    <t>437895        SGA VEICULOS E P 5232</t>
  </si>
  <si>
    <t>90020341</t>
  </si>
  <si>
    <t>437918        GNC COMERCIO DE  5315</t>
  </si>
  <si>
    <t>90020342</t>
  </si>
  <si>
    <t>437922        KASA MOTORS LTDA 5339</t>
  </si>
  <si>
    <t>90020472</t>
  </si>
  <si>
    <t>438131        MAC ALTO TIETE C 6313</t>
  </si>
  <si>
    <t>90020395</t>
  </si>
  <si>
    <t>438020        CAR HOUSE VEICUL 5709</t>
  </si>
  <si>
    <t>90020143</t>
  </si>
  <si>
    <t>437656        DROGARIA SOUZA E 6646</t>
  </si>
  <si>
    <t>90020360</t>
  </si>
  <si>
    <t>437960        MOITINHO AUTOMOV 5685</t>
  </si>
  <si>
    <t>90020361</t>
  </si>
  <si>
    <t>437961        NEWLAND VEICULOS 5690</t>
  </si>
  <si>
    <t>90020448</t>
  </si>
  <si>
    <t>438102        TEC LAB MEDICINA 6239</t>
  </si>
  <si>
    <t>90020386</t>
  </si>
  <si>
    <t>438001        DISVECO LTDA     5896</t>
  </si>
  <si>
    <t>90020090</t>
  </si>
  <si>
    <t>437603        ASTRA ABC COMERC 6495</t>
  </si>
  <si>
    <t>90020155</t>
  </si>
  <si>
    <t>437668        VALTER RAMOS LTD 6170</t>
  </si>
  <si>
    <t>90020232</t>
  </si>
  <si>
    <t>437745        RICAMBI TRATORPE 6127</t>
  </si>
  <si>
    <t>90020405</t>
  </si>
  <si>
    <t>438039        SOULWINES COMERC 6123</t>
  </si>
  <si>
    <t>90020052</t>
  </si>
  <si>
    <t>437565        QUIFA FARMACEUTI 6204</t>
  </si>
  <si>
    <t>90020380</t>
  </si>
  <si>
    <t>437993        FORMULA &amp; BASE F 5841</t>
  </si>
  <si>
    <t>90020163</t>
  </si>
  <si>
    <t>437676        ADO ATELIER DE C 6180</t>
  </si>
  <si>
    <t>90020267</t>
  </si>
  <si>
    <t>437787        BEFLY CONECTA AG 1565</t>
  </si>
  <si>
    <t>90020370</t>
  </si>
  <si>
    <t>437982        DISVECO LTDA     5775</t>
  </si>
  <si>
    <t>90020458</t>
  </si>
  <si>
    <t>438113        DISTRIBUIDORA DE 6234</t>
  </si>
  <si>
    <t>90020357</t>
  </si>
  <si>
    <t>437957        EMPORIO MAGISTRA 5666</t>
  </si>
  <si>
    <t>90020165</t>
  </si>
  <si>
    <t>437678        E2S IMPORTADORA  6398</t>
  </si>
  <si>
    <t>90020494</t>
  </si>
  <si>
    <t>438164        E2S IMPORTADORA  6398</t>
  </si>
  <si>
    <t>90020397</t>
  </si>
  <si>
    <t>438025        ACRE COMERCIO E  6025</t>
  </si>
  <si>
    <t>90020257</t>
  </si>
  <si>
    <t>437770        VIBRE MAIS COMER 6165</t>
  </si>
  <si>
    <t>90020401</t>
  </si>
  <si>
    <t>438029        RODOBENS COMERCI 6064</t>
  </si>
  <si>
    <t>90020596</t>
  </si>
  <si>
    <t>438311        KASA MOTORS LTDA 6759</t>
  </si>
  <si>
    <t>90020628</t>
  </si>
  <si>
    <t>438347        GERMANO ZENI VEI 6827</t>
  </si>
  <si>
    <t>90020530</t>
  </si>
  <si>
    <t>438224        L A SANTOS SILVA 6559</t>
  </si>
  <si>
    <t>90020661</t>
  </si>
  <si>
    <t>438386        OTS IMPORTADORA  6951</t>
  </si>
  <si>
    <t>90020264</t>
  </si>
  <si>
    <t>437782        TRIADE SOLUCOES  3246</t>
  </si>
  <si>
    <t>90020229</t>
  </si>
  <si>
    <t>437742        EUROCONSUMERS -  5345</t>
  </si>
  <si>
    <t>90020344</t>
  </si>
  <si>
    <t>437925        EUROCONSUMERS -  5345</t>
  </si>
  <si>
    <t>90020233</t>
  </si>
  <si>
    <t>437746        RIO DE PEDRAS HO 4666</t>
  </si>
  <si>
    <t>90020059</t>
  </si>
  <si>
    <t>437572        VENTURA LEGNER C 2141</t>
  </si>
  <si>
    <t>90020526</t>
  </si>
  <si>
    <t>438216        CENTRAL DO CARNA 5276</t>
  </si>
  <si>
    <t>90020044</t>
  </si>
  <si>
    <t>438035        LOWELL COSMETICO 2840</t>
  </si>
  <si>
    <t>90020262</t>
  </si>
  <si>
    <t>437776        AGAXTUR AGENCIA  1709</t>
  </si>
  <si>
    <t>90020415</t>
  </si>
  <si>
    <t>438055        DIPECARR DISTRIB 5684</t>
  </si>
  <si>
    <t>90020394</t>
  </si>
  <si>
    <t>438017        ESQUINAO CONVENI 5924</t>
  </si>
  <si>
    <t>90020461</t>
  </si>
  <si>
    <t>438116        AKKAR MOTORS E N 6284</t>
  </si>
  <si>
    <t>90020393</t>
  </si>
  <si>
    <t>438016        BMM PROMOCAO DE  5943</t>
  </si>
  <si>
    <t>90020283</t>
  </si>
  <si>
    <t>437814        JJMN CONFECCOES  1537</t>
  </si>
  <si>
    <t>90020054</t>
  </si>
  <si>
    <t>437567        MARINGA PASSAGEN 2444</t>
  </si>
  <si>
    <t>90020274</t>
  </si>
  <si>
    <t>437802        R MILET COMERCIO 3643</t>
  </si>
  <si>
    <t>90020642</t>
  </si>
  <si>
    <t>438364        A. F. COMERCIO D 6912</t>
  </si>
  <si>
    <t>90020265</t>
  </si>
  <si>
    <t>437783        ELITE TRAVEL ASS 3843</t>
  </si>
  <si>
    <t>90020372</t>
  </si>
  <si>
    <t>437985        LOLA LICENCIAMEN 5779</t>
  </si>
  <si>
    <t>90020164</t>
  </si>
  <si>
    <t>437677        CRESCERFARMA LTD 6103</t>
  </si>
  <si>
    <t>90020524</t>
  </si>
  <si>
    <t>438214        MANFRIN , CASSEB 6513</t>
  </si>
  <si>
    <t>90020508</t>
  </si>
  <si>
    <t>438188        TEXTIL ABRIL LTD 5913</t>
  </si>
  <si>
    <t>90020377</t>
  </si>
  <si>
    <t>437990        AYLO INDUSTRIA E 5941</t>
  </si>
  <si>
    <t>90020268</t>
  </si>
  <si>
    <t>437788        OMNILINK TECNOLO 2487</t>
  </si>
  <si>
    <t>20260916</t>
  </si>
  <si>
    <t>90020672</t>
  </si>
  <si>
    <t>PANDURATA ALIMEN 2535</t>
  </si>
  <si>
    <t>90020311</t>
  </si>
  <si>
    <t>437858        BRASIL EDUCACAO  1924</t>
  </si>
  <si>
    <t>90020349</t>
  </si>
  <si>
    <t>437937        LUZ FRANQUIAS LT 5485</t>
  </si>
  <si>
    <t>90020300</t>
  </si>
  <si>
    <t>437842        GREINER BIO-ONE  4436</t>
  </si>
  <si>
    <t>90020184</t>
  </si>
  <si>
    <t>437697        INTERBIKE - INDU 6440</t>
  </si>
  <si>
    <t>90020487</t>
  </si>
  <si>
    <t>438152        DMC CONSULTORIA  6370</t>
  </si>
  <si>
    <t>90020668</t>
  </si>
  <si>
    <t>BOUTIQUE DENTAL  6846</t>
  </si>
  <si>
    <t>90020483</t>
  </si>
  <si>
    <t>438146        OTHON DE CARVALH 6341</t>
  </si>
  <si>
    <t>90020228</t>
  </si>
  <si>
    <t>437741        PROMEX MAIS COME 6308</t>
  </si>
  <si>
    <t>90020114</t>
  </si>
  <si>
    <t>437627        CENTER MEGA COME 6489</t>
  </si>
  <si>
    <t>90020451</t>
  </si>
  <si>
    <t>438105        FR INDUSTRIA E C 6244</t>
  </si>
  <si>
    <t>90020091</t>
  </si>
  <si>
    <t>437604        H PLUS ADMINISTR 3762</t>
  </si>
  <si>
    <t>90020266</t>
  </si>
  <si>
    <t>437785        INCOMFRAL - INDU 3421</t>
  </si>
  <si>
    <t>90020390</t>
  </si>
  <si>
    <t>438010        HOT SAT TELECOMU 5805</t>
  </si>
  <si>
    <t>90020270</t>
  </si>
  <si>
    <t>437793        AVIAREPS ASSESSO 1965</t>
  </si>
  <si>
    <t>90020269</t>
  </si>
  <si>
    <t>437792        CIL - COMERCIO D 3559</t>
  </si>
  <si>
    <t>90020095</t>
  </si>
  <si>
    <t>437608        BARATA AVIATION  6725</t>
  </si>
  <si>
    <t>90020149</t>
  </si>
  <si>
    <t>437662        FUNDACAO ARTHUR  6461</t>
  </si>
  <si>
    <t>90020369</t>
  </si>
  <si>
    <t>437981        CONDOMINIO DO ED 5773</t>
  </si>
  <si>
    <t>90020188</t>
  </si>
  <si>
    <t>437701        KEEPCARE EQUIPAM 2269</t>
  </si>
  <si>
    <t>90020273</t>
  </si>
  <si>
    <t>437801        BAZAR RIO 2005 C 3169</t>
  </si>
  <si>
    <t>90020284</t>
  </si>
  <si>
    <t>437815        VERTEM SOLUCOES  2435</t>
  </si>
  <si>
    <t>90020243</t>
  </si>
  <si>
    <t>437756        SUPERMERCADO SUP 5486</t>
  </si>
  <si>
    <t>90020279</t>
  </si>
  <si>
    <t>437808        PRIME TOUR AGENC 1596</t>
  </si>
  <si>
    <t>90020042</t>
  </si>
  <si>
    <t>DINHO- WOSNIACK  6924</t>
  </si>
  <si>
    <t>90020254</t>
  </si>
  <si>
    <t>437767        HOTEL FAZENDA VA 3449</t>
  </si>
  <si>
    <t>90020543</t>
  </si>
  <si>
    <t>438239        HOTEL FAZENDA VA 3449</t>
  </si>
  <si>
    <t>90020101</t>
  </si>
  <si>
    <t>437614        BIVIK CONFECCOES 5336</t>
  </si>
  <si>
    <t>90020215</t>
  </si>
  <si>
    <t>437728        PARIS STORE PERF 6369</t>
  </si>
  <si>
    <t>90020160</t>
  </si>
  <si>
    <t>437673        GV4 EMPREENDIMEN 6606</t>
  </si>
  <si>
    <t>90020182</t>
  </si>
  <si>
    <t>437695        ASSOCIACAO INSTI 6687</t>
  </si>
  <si>
    <t>90020294</t>
  </si>
  <si>
    <t>437833        SCANMETAL - INDU 1802</t>
  </si>
  <si>
    <t>90020162</t>
  </si>
  <si>
    <t>437675        BELL RIO COSMETI 5700</t>
  </si>
  <si>
    <t>90020468</t>
  </si>
  <si>
    <t>438127        LONEC COMERCIO V 6316</t>
  </si>
  <si>
    <t>90020609</t>
  </si>
  <si>
    <t>438326        CAVEDANO COMERCI 6803</t>
  </si>
  <si>
    <t>90020100</t>
  </si>
  <si>
    <t>437613        BERTOLINI S/A    6684</t>
  </si>
  <si>
    <t>90020181</t>
  </si>
  <si>
    <t>437694        DI BACCELLI CONF 6342</t>
  </si>
  <si>
    <t>90020202</t>
  </si>
  <si>
    <t>437715        MEDICINAL FARMAC 4039</t>
  </si>
  <si>
    <t>90020333</t>
  </si>
  <si>
    <t>437904        UNINTER INFORMAT 5279</t>
  </si>
  <si>
    <t>90020287</t>
  </si>
  <si>
    <t>437819        BOOZ OPERADORA D 3862</t>
  </si>
  <si>
    <t>90020295</t>
  </si>
  <si>
    <t>437834        BLUMAR/BRAZIL NU 3127</t>
  </si>
  <si>
    <t>90020230</t>
  </si>
  <si>
    <t>437743        DISTRIBUIDORA RE 5729</t>
  </si>
  <si>
    <t>90020298</t>
  </si>
  <si>
    <t>437837        VIA VERDE CALCAD 4398</t>
  </si>
  <si>
    <t>90020278</t>
  </si>
  <si>
    <t>437807        EUROP ASSISTANCE 2468</t>
  </si>
  <si>
    <t>90020389</t>
  </si>
  <si>
    <t>438009        CYCLOTRONICS TEC 5966</t>
  </si>
  <si>
    <t>90020387</t>
  </si>
  <si>
    <t>438002        RESERVA COMERCIO 5906</t>
  </si>
  <si>
    <t>90020392</t>
  </si>
  <si>
    <t>438014        KARAMELLO RIO RO 5969</t>
  </si>
  <si>
    <t>90020272</t>
  </si>
  <si>
    <t>437797        RESERVA FEITA TU 3878</t>
  </si>
  <si>
    <t>90020245</t>
  </si>
  <si>
    <t>437758        TAYAYA ADMINISTR 4033</t>
  </si>
  <si>
    <t>90020403</t>
  </si>
  <si>
    <t>438032        ALIGNER SOLUTION 6085</t>
  </si>
  <si>
    <t>90020299</t>
  </si>
  <si>
    <t>437841        PAPELLO SOLUCOES 4463</t>
  </si>
  <si>
    <t>90020277</t>
  </si>
  <si>
    <t>437806        EMBARQUE TURISMO 3692</t>
  </si>
  <si>
    <t>90020280</t>
  </si>
  <si>
    <t>437809        ROSSTAMP CONFECC 2547</t>
  </si>
  <si>
    <t>90020122</t>
  </si>
  <si>
    <t>437635        COTRIPAL AGROPEC 4510</t>
  </si>
  <si>
    <t>90020194</t>
  </si>
  <si>
    <t>437707        JAMES BARBOSA &amp;  2709</t>
  </si>
  <si>
    <t>90020671</t>
  </si>
  <si>
    <t>CENTER MEGA COME 6373</t>
  </si>
  <si>
    <t>90020171</t>
  </si>
  <si>
    <t>437684        SANEAR BRASIL PR 5944</t>
  </si>
  <si>
    <t>90020170</t>
  </si>
  <si>
    <t>437683        MB COMERCIO DE M 6068</t>
  </si>
  <si>
    <t>90020286</t>
  </si>
  <si>
    <t>437818        AVIPAM VIAGENS E 2966</t>
  </si>
  <si>
    <t>90020379</t>
  </si>
  <si>
    <t>437992        COMERCIAL JAD ZE 5853</t>
  </si>
  <si>
    <t>90020307</t>
  </si>
  <si>
    <t>437854        CHOCOLATE CASEIR 4533</t>
  </si>
  <si>
    <t>90020305</t>
  </si>
  <si>
    <t>437851        COMERCIO DE ALIM 4634</t>
  </si>
  <si>
    <t>90020289</t>
  </si>
  <si>
    <t>437821        PRATAS PARK HOTE 4141</t>
  </si>
  <si>
    <t>90020619</t>
  </si>
  <si>
    <t>438337        GM COMERCIO DE C 6783</t>
  </si>
  <si>
    <t>90020497</t>
  </si>
  <si>
    <t>438174        EMPORIO RODRIGO  6443</t>
  </si>
  <si>
    <t>90020288</t>
  </si>
  <si>
    <t>437820        ARRAIAL CANA BRA 3523</t>
  </si>
  <si>
    <t>90020063</t>
  </si>
  <si>
    <t>437576        SC MAIOLO EQUIPA 6972</t>
  </si>
  <si>
    <t>90020107</t>
  </si>
  <si>
    <t>437620        ZION MOVELARIA L 6845</t>
  </si>
  <si>
    <t>90020207</t>
  </si>
  <si>
    <t>437720        MR STORE COMERCI 6537</t>
  </si>
  <si>
    <t>90020522</t>
  </si>
  <si>
    <t>438208        TRANZZY INTERMED 6523</t>
  </si>
  <si>
    <t>90020597</t>
  </si>
  <si>
    <t>438312        COMERCIAL GIORDA 6796</t>
  </si>
  <si>
    <t>90020600</t>
  </si>
  <si>
    <t>438316        ESTACAO BALAO LT 6792</t>
  </si>
  <si>
    <t>90020621</t>
  </si>
  <si>
    <t>438339        CINDY COSMETICS  6829</t>
  </si>
  <si>
    <t>90020635</t>
  </si>
  <si>
    <t>438357        VOLTATTO SUPRIME 6868</t>
  </si>
  <si>
    <t>90020636</t>
  </si>
  <si>
    <t>438358        HAP HOTELARIA LT 6869</t>
  </si>
  <si>
    <t>90020637</t>
  </si>
  <si>
    <t>438359        CUSTOM LAB PRODU 6890</t>
  </si>
  <si>
    <t>90020640</t>
  </si>
  <si>
    <t>438362        ERVATEIRA SEIVA  6840</t>
  </si>
  <si>
    <t>90020643</t>
  </si>
  <si>
    <t>438365        ALCHYMIST LAGOA  6926</t>
  </si>
  <si>
    <t>90020644</t>
  </si>
  <si>
    <t>438366        ALCHYMIST PREHIS 6927</t>
  </si>
  <si>
    <t>90020646</t>
  </si>
  <si>
    <t>438368        OCEAN JERI TAXI  6936</t>
  </si>
  <si>
    <t>90020649</t>
  </si>
  <si>
    <t>438371        AVIL TEXTIL LTDA 6863</t>
  </si>
  <si>
    <t>90020652</t>
  </si>
  <si>
    <t>438374        NM FIGUEIRA LTDA 6947</t>
  </si>
  <si>
    <t>90020275</t>
  </si>
  <si>
    <t>437804        OCTO CLOUD DESEN 2886</t>
  </si>
  <si>
    <t>90020414</t>
  </si>
  <si>
    <t>438054        COTRIPAL AGROPEC 6131</t>
  </si>
  <si>
    <t>90020610</t>
  </si>
  <si>
    <t>438327        VANGUARD FARMA L 6797</t>
  </si>
  <si>
    <t>90020613</t>
  </si>
  <si>
    <t>438330        43.615.025 JOANA 6820</t>
  </si>
  <si>
    <t>90020167</t>
  </si>
  <si>
    <t>437680        H PLUS ADMINISTR 6005</t>
  </si>
  <si>
    <t>90020208</t>
  </si>
  <si>
    <t>437721        NICOM COMERCIO D 5942</t>
  </si>
  <si>
    <t>90020378</t>
  </si>
  <si>
    <t>437991        CIMAFER COMERCIO 5838</t>
  </si>
  <si>
    <t>90020131</t>
  </si>
  <si>
    <t>437644        DJ COMERCIO DE I 6301</t>
  </si>
  <si>
    <t>90020134</t>
  </si>
  <si>
    <t>437647        ECCO BARI CONFEC 6333</t>
  </si>
  <si>
    <t>90020476</t>
  </si>
  <si>
    <t>438136        JULIANA MARIA MA 6320</t>
  </si>
  <si>
    <t>90020479</t>
  </si>
  <si>
    <t>438139        B L INDUSTRIA DE 6331</t>
  </si>
  <si>
    <t>90020236</t>
  </si>
  <si>
    <t>437749        SCHEER CHURRASQU 6441</t>
  </si>
  <si>
    <t>90020486</t>
  </si>
  <si>
    <t>438151        ASSOCIACAO DEFES 6359</t>
  </si>
  <si>
    <t>90020166</t>
  </si>
  <si>
    <t>437679        H PLUS HOTEIS LR 3616</t>
  </si>
  <si>
    <t>90020180</t>
  </si>
  <si>
    <t>437693        H PLUS ADMINISTR 6008</t>
  </si>
  <si>
    <t>90020456</t>
  </si>
  <si>
    <t>438111        OUTLET 55 LTDA   6259</t>
  </si>
  <si>
    <t>90020412</t>
  </si>
  <si>
    <t>438051        NORTEL SUPRIMENT 2739</t>
  </si>
  <si>
    <t>90020528</t>
  </si>
  <si>
    <t>438221        C. L. DA SILVEIR 6578</t>
  </si>
  <si>
    <t>90020495</t>
  </si>
  <si>
    <t>438167        MARCIA RUIZ ZAMB 6423</t>
  </si>
  <si>
    <t>90020303</t>
  </si>
  <si>
    <t>437849        FLAG CONFECCOES  5223</t>
  </si>
  <si>
    <t>90020304</t>
  </si>
  <si>
    <t>437850        CAVALCANTI GONCA 5258</t>
  </si>
  <si>
    <t>90020431</t>
  </si>
  <si>
    <t>438084        MADEL HOME COMER 6212</t>
  </si>
  <si>
    <t>90020432</t>
  </si>
  <si>
    <t>438085        T F S INDUSTRIA  6166</t>
  </si>
  <si>
    <t>90020097</t>
  </si>
  <si>
    <t>437610        BEETOP INDUSTRIA 6475</t>
  </si>
  <si>
    <t>90020132</t>
  </si>
  <si>
    <t>437645        DOURAVITA SUPLEM 6572</t>
  </si>
  <si>
    <t>90020146</t>
  </si>
  <si>
    <t>437659        FLAY BRAND COMER 6094</t>
  </si>
  <si>
    <t>90020176</t>
  </si>
  <si>
    <t>437689        HOTEL GUMZ LTDA  6509</t>
  </si>
  <si>
    <t>90020216</t>
  </si>
  <si>
    <t>437729        PARS PRODUTOS DE 6597</t>
  </si>
  <si>
    <t>90020240</t>
  </si>
  <si>
    <t>437753        SOLAR GARDEN COM 6564</t>
  </si>
  <si>
    <t>90020531</t>
  </si>
  <si>
    <t>438225        MODULACAO INTEST 6571</t>
  </si>
  <si>
    <t>90020566</t>
  </si>
  <si>
    <t>438271        HOTEL GUMZ LTDA  6509</t>
  </si>
  <si>
    <t>90020594</t>
  </si>
  <si>
    <t>438309        ESCOLAS BESA LTD 6730</t>
  </si>
  <si>
    <t>90020563</t>
  </si>
  <si>
    <t>438267        PAYOUT PAGAMENTO 6338</t>
  </si>
  <si>
    <t>90020201</t>
  </si>
  <si>
    <t>437714        M.R.P. ATELIER L 6469</t>
  </si>
  <si>
    <t>90020608</t>
  </si>
  <si>
    <t>438325        A2RM COMERCIO VA 6807</t>
  </si>
  <si>
    <t>90020611</t>
  </si>
  <si>
    <t>438328        CAFE DO MERCADO  6810</t>
  </si>
  <si>
    <t>90020614</t>
  </si>
  <si>
    <t>438331        JOALHERIA 18K LT 6813</t>
  </si>
  <si>
    <t>90020251</t>
  </si>
  <si>
    <t>437764        IMPORTADORA TV L 5842</t>
  </si>
  <si>
    <t>90020581</t>
  </si>
  <si>
    <t>438291        RR SHOES COMERCI 6718</t>
  </si>
  <si>
    <t>90020493</t>
  </si>
  <si>
    <t>438163        61.231.446 PATRI 6401</t>
  </si>
  <si>
    <t>90020178</t>
  </si>
  <si>
    <t>437691        H PLUS ADMINISTR 3758</t>
  </si>
  <si>
    <t>90020561</t>
  </si>
  <si>
    <t>438260        MSF CAFE LTDA    6654</t>
  </si>
  <si>
    <t>90020616</t>
  </si>
  <si>
    <t>438333        AUTO FORTE COMER 6822</t>
  </si>
  <si>
    <t>90020618</t>
  </si>
  <si>
    <t>438336        TELHADAO COMERCI 6828</t>
  </si>
  <si>
    <t>90020623</t>
  </si>
  <si>
    <t>438341        DZ &amp; DZ COMERCIO 6818</t>
  </si>
  <si>
    <t>90020657</t>
  </si>
  <si>
    <t>438382        HOLI4U LTDA      6895</t>
  </si>
  <si>
    <t>90020085</t>
  </si>
  <si>
    <t>437598        AMERICANVEK PROT 6438</t>
  </si>
  <si>
    <t>90020213</t>
  </si>
  <si>
    <t>437726        PARAMOUNT TEXTEI 2345</t>
  </si>
  <si>
    <t>90020306</t>
  </si>
  <si>
    <t>437852        MERSAN MODAS LTD 4662</t>
  </si>
  <si>
    <t>90020309</t>
  </si>
  <si>
    <t>437856        EPICE IMPORTACAO 4608</t>
  </si>
  <si>
    <t>90020235</t>
  </si>
  <si>
    <t>437748        H PLUS ADMINISTR 3756</t>
  </si>
  <si>
    <t>90020087</t>
  </si>
  <si>
    <t>437600        APOIO DENTAL COM 6175</t>
  </si>
  <si>
    <t>90020615</t>
  </si>
  <si>
    <t>438332        DISTRIBUIDORA ME 6804</t>
  </si>
  <si>
    <t>90020082</t>
  </si>
  <si>
    <t>437595        ALLECOMM COMERCI 6644</t>
  </si>
  <si>
    <t>90020113</t>
  </si>
  <si>
    <t>437626        CENTAURO VIDA E  6530</t>
  </si>
  <si>
    <t>90020137</t>
  </si>
  <si>
    <t>437650        ENJOY ADMINISTRA 6683</t>
  </si>
  <si>
    <t>90020226</t>
  </si>
  <si>
    <t>437739        POUSADA PORTO MA 2688</t>
  </si>
  <si>
    <t>90020231</t>
  </si>
  <si>
    <t>437744        TOYAMA DO BRASIL 6648</t>
  </si>
  <si>
    <t>90020519</t>
  </si>
  <si>
    <t>438203        TARASA BRASIL IM 6492</t>
  </si>
  <si>
    <t>90020606</t>
  </si>
  <si>
    <t>438323        HOAD PERFORMANCE 6808</t>
  </si>
  <si>
    <t>90020620</t>
  </si>
  <si>
    <t>438338        REMUDE BRAND COM 6784</t>
  </si>
  <si>
    <t>90020622</t>
  </si>
  <si>
    <t>438340        VSG              6838</t>
  </si>
  <si>
    <t>90020647</t>
  </si>
  <si>
    <t>438369        LUCAS CARVALHO D 6928</t>
  </si>
  <si>
    <t>90020653</t>
  </si>
  <si>
    <t>438376        AQUABRAZIL OUTDO 6950</t>
  </si>
  <si>
    <t>90020654</t>
  </si>
  <si>
    <t>438378        ACB GIFTS E DECO 6960</t>
  </si>
  <si>
    <t>90020253</t>
  </si>
  <si>
    <t>437766        MADEIREIRA VALE  5626</t>
  </si>
  <si>
    <t>90020258</t>
  </si>
  <si>
    <t>437771        VINILTEC INDUSTR 6460</t>
  </si>
  <si>
    <t>90020173</t>
  </si>
  <si>
    <t>437686        HIGA PRODUTOS AL 4873</t>
  </si>
  <si>
    <t>90020109</t>
  </si>
  <si>
    <t>437622        R. C. GIOVANI CO 6083</t>
  </si>
  <si>
    <t>90020222</t>
  </si>
  <si>
    <t>437735        PLANTEC DISTRIBU 6719</t>
  </si>
  <si>
    <t>90020517</t>
  </si>
  <si>
    <t>438200        LABOR PRODUTOS O 6483</t>
  </si>
  <si>
    <t>90020106</t>
  </si>
  <si>
    <t>437619        RIBEIRO &amp; AVIDAG 5411</t>
  </si>
  <si>
    <t>90020214</t>
  </si>
  <si>
    <t>437727        AGROPECUARIA PAR 5928</t>
  </si>
  <si>
    <t>90020292</t>
  </si>
  <si>
    <t>437830        CVLB BRASIL S.A. 3488</t>
  </si>
  <si>
    <t>90020484</t>
  </si>
  <si>
    <t>438149        VF COMERCIAL LTD 6343</t>
  </si>
  <si>
    <t>90020175</t>
  </si>
  <si>
    <t>437688        EMPRESA HOTELEIR 4013</t>
  </si>
  <si>
    <t>90020371</t>
  </si>
  <si>
    <t>437984        MACROPORT DISTRI 5791</t>
  </si>
  <si>
    <t>90020119</t>
  </si>
  <si>
    <t>437632        CONECTA FIDELIDA 6071</t>
  </si>
  <si>
    <t>90020409</t>
  </si>
  <si>
    <t>438043        BARION INDUSTRIA 6104</t>
  </si>
  <si>
    <t>90020411</t>
  </si>
  <si>
    <t>438050        MONACO PECAS LTD 6084</t>
  </si>
  <si>
    <t>90020192</t>
  </si>
  <si>
    <t>437705        SR ACABAMENTOS E 5985</t>
  </si>
  <si>
    <t>90020136</t>
  </si>
  <si>
    <t>437649        BRASILPLAST EMBA 6060</t>
  </si>
  <si>
    <t>90020186</t>
  </si>
  <si>
    <t>437699        JAHU BORRACHAS E 5584</t>
  </si>
  <si>
    <t>90020221</t>
  </si>
  <si>
    <t>437734        ENGARRAFAMENTO P 5585</t>
  </si>
  <si>
    <t>90020366</t>
  </si>
  <si>
    <t>437977        H. G. HERRERA LT 5758</t>
  </si>
  <si>
    <t>90020605</t>
  </si>
  <si>
    <t>438322        FLOWA SMART FLOW 6781</t>
  </si>
  <si>
    <t>90020364</t>
  </si>
  <si>
    <t>437973        IE INTERNATIONAL 3276</t>
  </si>
  <si>
    <t>90020352</t>
  </si>
  <si>
    <t>437942        FABRICA DE VIAGE 5509</t>
  </si>
  <si>
    <t>90020081</t>
  </si>
  <si>
    <t>437594        AGRO-COMERCIAL A 4757</t>
  </si>
  <si>
    <t>90020115</t>
  </si>
  <si>
    <t>437628        CESCONETTO ATACA 5603</t>
  </si>
  <si>
    <t>90020358</t>
  </si>
  <si>
    <t>437958        COSTAFERRO COSTA 5668</t>
  </si>
  <si>
    <t>90020150</t>
  </si>
  <si>
    <t>437663        FUNDACAO EDITORA 4747</t>
  </si>
  <si>
    <t>90020359</t>
  </si>
  <si>
    <t>437959        JU MANZINI COMER 5683</t>
  </si>
  <si>
    <t>90020179</t>
  </si>
  <si>
    <t>437692        H PLUS ADMINISTR 3757</t>
  </si>
  <si>
    <t>90020313</t>
  </si>
  <si>
    <t>437862        FIGUEREDO &amp; FILH 4678</t>
  </si>
  <si>
    <t>90020314</t>
  </si>
  <si>
    <t>437866        CAULE COMERCIO D 4768</t>
  </si>
  <si>
    <t>90020353</t>
  </si>
  <si>
    <t>437944        HS - ADMINISTRAC 5527</t>
  </si>
  <si>
    <t>90020367</t>
  </si>
  <si>
    <t>437978        HSYSTEM TECNOLOG 4071</t>
  </si>
  <si>
    <t>90020315</t>
  </si>
  <si>
    <t>437870        LAMPADINHA MATER 4781</t>
  </si>
  <si>
    <t>90020382</t>
  </si>
  <si>
    <t>437995        POCKET PAY SOLUC 5845</t>
  </si>
  <si>
    <t>90020252</t>
  </si>
  <si>
    <t>437765        USIMED DE TUBARA 5636</t>
  </si>
  <si>
    <t>90020151</t>
  </si>
  <si>
    <t>437664        GAV INTERCAMBIAD 4830</t>
  </si>
  <si>
    <t>90020318</t>
  </si>
  <si>
    <t>437879        TOPPS ESPORTES E 4822</t>
  </si>
  <si>
    <t>90020203</t>
  </si>
  <si>
    <t>437716        MESTRE MARCENEIR 5137</t>
  </si>
  <si>
    <t>90020604</t>
  </si>
  <si>
    <t>438320        MIC INDUSTRIA DE 6789</t>
  </si>
  <si>
    <t>90020316</t>
  </si>
  <si>
    <t>437871        AGUATIVA GOLF RE 4758</t>
  </si>
  <si>
    <t>90020317</t>
  </si>
  <si>
    <t>437874        CGN COMERCIAL E  4819</t>
  </si>
  <si>
    <t>90020374</t>
  </si>
  <si>
    <t>437987        PARQUE DO AVESTR 5806</t>
  </si>
  <si>
    <t>90020582</t>
  </si>
  <si>
    <t>438293        PAGUE PLAY LTDA  6720</t>
  </si>
  <si>
    <t>90020058</t>
  </si>
  <si>
    <t>437571        SEAWAY CONFECCOE 3568</t>
  </si>
  <si>
    <t>90020324</t>
  </si>
  <si>
    <t>437891        PARDIS - PARDINI 5142</t>
  </si>
  <si>
    <t>90020434</t>
  </si>
  <si>
    <t>438087        LOJAS ESTRELA DO 6206</t>
  </si>
  <si>
    <t>90020407</t>
  </si>
  <si>
    <t>438041        SMACK BRASIL LTD 6121</t>
  </si>
  <si>
    <t>90020340</t>
  </si>
  <si>
    <t>437915        ABBEY TURISMO LT 5286</t>
  </si>
  <si>
    <t>90020145</t>
  </si>
  <si>
    <t>437658        FFE DISTRIBUIDOR 5179</t>
  </si>
  <si>
    <t>90020325</t>
  </si>
  <si>
    <t>437894        VIAGENS PROMO TU 1544</t>
  </si>
  <si>
    <t>90020363</t>
  </si>
  <si>
    <t>437965        DROGARIA SHOPPIN 5712</t>
  </si>
  <si>
    <t>90020381</t>
  </si>
  <si>
    <t>437994        EMPORIO SAUDAVEL 5836</t>
  </si>
  <si>
    <t>90020433</t>
  </si>
  <si>
    <t>438086        DELUXE SPORTS CO 5778</t>
  </si>
  <si>
    <t>90020355</t>
  </si>
  <si>
    <t>437946        NOVAK &amp; GOUVEIA  5615</t>
  </si>
  <si>
    <t>90020383</t>
  </si>
  <si>
    <t>437996        PONTESTUR AGENCI 5862</t>
  </si>
  <si>
    <t>90020310</t>
  </si>
  <si>
    <t>437857        SMART CENTER COM 4626</t>
  </si>
  <si>
    <t>90020346</t>
  </si>
  <si>
    <t>437930        SUPER MERCADO TI 5436</t>
  </si>
  <si>
    <t>90020128</t>
  </si>
  <si>
    <t>437641        DENTAL MACEIO LT 5713</t>
  </si>
  <si>
    <t>90020343</t>
  </si>
  <si>
    <t>437924        GFP GESTAO EMPRE 5337</t>
  </si>
  <si>
    <t>90020322</t>
  </si>
  <si>
    <t>437886        REFRIAL DISTRIBU 5149</t>
  </si>
  <si>
    <t>90020388</t>
  </si>
  <si>
    <t>438003        MANDUI FOODS LTD 5912</t>
  </si>
  <si>
    <t>90020348</t>
  </si>
  <si>
    <t>437935        MARCOS TIAGO PER 5452</t>
  </si>
  <si>
    <t>90020384</t>
  </si>
  <si>
    <t>437997        ALVORADA COMERCI 5910</t>
  </si>
  <si>
    <t>90020123</t>
  </si>
  <si>
    <t>437636        H PLUS ADMINISTR 3761</t>
  </si>
  <si>
    <t>90020399</t>
  </si>
  <si>
    <t>438027        BELA TINTAS LTDA 6007</t>
  </si>
  <si>
    <t>90020110</t>
  </si>
  <si>
    <t>437623        CASA FERNANDES M 6661</t>
  </si>
  <si>
    <t>90020312</t>
  </si>
  <si>
    <t>437860        SAUDAVEL TO BE C 4672</t>
  </si>
  <si>
    <t>90020129</t>
  </si>
  <si>
    <t>437642        DENTAL RUBI COME 6055</t>
  </si>
  <si>
    <t>90020400</t>
  </si>
  <si>
    <t>438028        GOSPA VIAGENS E  6053</t>
  </si>
  <si>
    <t>90020402</t>
  </si>
  <si>
    <t>438031        EP ENGENHARIA DO 6065</t>
  </si>
  <si>
    <t>90020094</t>
  </si>
  <si>
    <t>437607        PARDO SERVICOS I 5321</t>
  </si>
  <si>
    <t>90020212</t>
  </si>
  <si>
    <t>437725        PALLAS OPERADORA 5272</t>
  </si>
  <si>
    <t>90020320</t>
  </si>
  <si>
    <t>437883        IMDEPA ROLAMENTO 5026</t>
  </si>
  <si>
    <t>90020321</t>
  </si>
  <si>
    <t>437884        SOCIEDADE BIBLIC 2483</t>
  </si>
  <si>
    <t>90020118</t>
  </si>
  <si>
    <t>437631        COMPENSADOS FERN 5656</t>
  </si>
  <si>
    <t>90020193</t>
  </si>
  <si>
    <t>437706        LOJAS ADELINO LT 5443</t>
  </si>
  <si>
    <t>90020335</t>
  </si>
  <si>
    <t>437906        VILA ZAIRA  HORT 5267</t>
  </si>
  <si>
    <t>90020345</t>
  </si>
  <si>
    <t>437927        PRATIC LOJA DE C 5311</t>
  </si>
  <si>
    <t>90020626</t>
  </si>
  <si>
    <t>438345        CODIGO TARIFARIO 6760</t>
  </si>
  <si>
    <t>90020301</t>
  </si>
  <si>
    <t>437845        THE EXPRESS GROU 4498</t>
  </si>
  <si>
    <t>90020290</t>
  </si>
  <si>
    <t>437826        JAB COMERCIO E D 3654</t>
  </si>
  <si>
    <t>90020469</t>
  </si>
  <si>
    <t>438128        AMZ COMERCIO DE  6311</t>
  </si>
  <si>
    <t>90020452</t>
  </si>
  <si>
    <t>438106        NDI IMPORTACAO,  6248</t>
  </si>
  <si>
    <t>90020462</t>
  </si>
  <si>
    <t>438117        DTR MOTORSPORT C 6270</t>
  </si>
  <si>
    <t>90020169</t>
  </si>
  <si>
    <t>437682        WRB TURISMO LTDA 6195</t>
  </si>
  <si>
    <t>90020056</t>
  </si>
  <si>
    <t>437569        RCA OPERADORA TU 1498</t>
  </si>
  <si>
    <t>90020396</t>
  </si>
  <si>
    <t>438024        ELISA COFFEE ROA 6030</t>
  </si>
  <si>
    <t>90020435</t>
  </si>
  <si>
    <t>438088        MAXI POPULAR DOU 6228</t>
  </si>
  <si>
    <t>90020510</t>
  </si>
  <si>
    <t>438191        DROGARIA SANTA R 6437</t>
  </si>
  <si>
    <t>90020271</t>
  </si>
  <si>
    <t>437796        MARCIA CRISTINA  2910</t>
  </si>
  <si>
    <t>90020565</t>
  </si>
  <si>
    <t>438269        CINEGAGLIA DROGA 6664</t>
  </si>
  <si>
    <t>90020539</t>
  </si>
  <si>
    <t>438234        DROGARIA MODENA  6481</t>
  </si>
  <si>
    <t>90020559</t>
  </si>
  <si>
    <t>438257        PINHO SANTOS &amp; C 6641</t>
  </si>
  <si>
    <t>90020641</t>
  </si>
  <si>
    <t>438363        CAMAQUA DISTRIBU 6966</t>
  </si>
  <si>
    <t>90020571</t>
  </si>
  <si>
    <t>438278        VITAL FARMA ITAP 6227</t>
  </si>
  <si>
    <t>90020454</t>
  </si>
  <si>
    <t>438109        IRMAOS OLIVEIRA  6263</t>
  </si>
  <si>
    <t>90020375</t>
  </si>
  <si>
    <t>437988        ROJEMAC IMPORTAC 5817</t>
  </si>
  <si>
    <t>90020418</t>
  </si>
  <si>
    <t>438059        CELIDONIO E OLIV 6160</t>
  </si>
  <si>
    <t>90020428</t>
  </si>
  <si>
    <t>438074        FZ FARMA LTDA    6141</t>
  </si>
  <si>
    <t>90020540</t>
  </si>
  <si>
    <t>438235        COMERCIAL DE MED 6576</t>
  </si>
  <si>
    <t>90020541</t>
  </si>
  <si>
    <t>438236        DROGARIA SUPER P 6598</t>
  </si>
  <si>
    <t>90020467</t>
  </si>
  <si>
    <t>438126        DROGARIA SOUSA L 6290</t>
  </si>
  <si>
    <t>90020475</t>
  </si>
  <si>
    <t>438135        FARMACIA BOA VIS 6249</t>
  </si>
  <si>
    <t>90020513</t>
  </si>
  <si>
    <t>438194        LEME E LEME DROG 6452</t>
  </si>
  <si>
    <t>90020416</t>
  </si>
  <si>
    <t>438056        FZ FARMA LTDA    6137</t>
  </si>
  <si>
    <t>90020512</t>
  </si>
  <si>
    <t>438193        AGV FARMA LTDA   6454</t>
  </si>
  <si>
    <t>90020463</t>
  </si>
  <si>
    <t>438120        NATU FARMA FARMA 6269</t>
  </si>
  <si>
    <t>90020545</t>
  </si>
  <si>
    <t>438242        DROGARIA C. P. C 6586</t>
  </si>
  <si>
    <t>90020632</t>
  </si>
  <si>
    <t>438353        DROGARIA SOUSA L 6290</t>
  </si>
  <si>
    <t>90020466</t>
  </si>
  <si>
    <t>438124        DUTRA COMERCIO F 6285</t>
  </si>
  <si>
    <t>90020516</t>
  </si>
  <si>
    <t>438199        DROGARIA DIMAS L 6349</t>
  </si>
  <si>
    <t>90020423</t>
  </si>
  <si>
    <t>438067        DROGARIA VILA RE 6151</t>
  </si>
  <si>
    <t>90020601</t>
  </si>
  <si>
    <t>438317        DROGARIA LAGOCEN 6768</t>
  </si>
  <si>
    <t>90020546</t>
  </si>
  <si>
    <t>438243        SANTOS &amp; SOARES  6587</t>
  </si>
  <si>
    <t>90020489</t>
  </si>
  <si>
    <t>438159        FARMACIA SAO LUI 6354</t>
  </si>
  <si>
    <t>90020490</t>
  </si>
  <si>
    <t>438160        DROGARIA POPULAR 6346</t>
  </si>
  <si>
    <t>90020492</t>
  </si>
  <si>
    <t>438162        BF DROGARIAS LTD 6350</t>
  </si>
  <si>
    <t>90020498</t>
  </si>
  <si>
    <t>438175        DROGARIAAPODI PR 6368</t>
  </si>
  <si>
    <t>90020473</t>
  </si>
  <si>
    <t>438132        CL ANJOS DROGARI 6315</t>
  </si>
  <si>
    <t>90020474</t>
  </si>
  <si>
    <t>438134        FARMACIA MARTINS 6314</t>
  </si>
  <si>
    <t>90020499</t>
  </si>
  <si>
    <t>438176        SILVA &amp; SILVA DR 6400</t>
  </si>
  <si>
    <t>90020500</t>
  </si>
  <si>
    <t>438177        VOLPHI FARMACIA  6405</t>
  </si>
  <si>
    <t>90020501</t>
  </si>
  <si>
    <t>438178        FARMACIA SANTINE 6406</t>
  </si>
  <si>
    <t>90020502</t>
  </si>
  <si>
    <t>438180        FARMED COMERCIO  6412</t>
  </si>
  <si>
    <t>90020503</t>
  </si>
  <si>
    <t>438181        DROGARIA FAMILIA 6436</t>
  </si>
  <si>
    <t>90020505</t>
  </si>
  <si>
    <t>438183        M &amp; A FARMA LTDA 6448</t>
  </si>
  <si>
    <t>90020507</t>
  </si>
  <si>
    <t>438185        FARMACIA SALTO G 6411</t>
  </si>
  <si>
    <t>90020509</t>
  </si>
  <si>
    <t>438189        DORA FARMA COMER 6428</t>
  </si>
  <si>
    <t>90020511</t>
  </si>
  <si>
    <t>438192        SUL FORTALEZA CO 6429</t>
  </si>
  <si>
    <t>90020449</t>
  </si>
  <si>
    <t>438103        DROGARIA E FARMA 6233</t>
  </si>
  <si>
    <t>90020450</t>
  </si>
  <si>
    <t>438104        FARMACIA ULTRAFA 6235</t>
  </si>
  <si>
    <t>90020457</t>
  </si>
  <si>
    <t>438112        LOBATO E RIBEIRO 6255</t>
  </si>
  <si>
    <t>90020460</t>
  </si>
  <si>
    <t>438115        A. V. UCHOA DA S 6273</t>
  </si>
  <si>
    <t>90020464</t>
  </si>
  <si>
    <t>438121        POUPE MAIS GEREN 6287</t>
  </si>
  <si>
    <t>90020465</t>
  </si>
  <si>
    <t>438122        DROGARIA PRINCIP 6281</t>
  </si>
  <si>
    <t>90020470</t>
  </si>
  <si>
    <t>438129        DROGARIAS MAXI P 6302</t>
  </si>
  <si>
    <t>90020471</t>
  </si>
  <si>
    <t>438130        DROGARIA MANGUE  6282</t>
  </si>
  <si>
    <t>90020481</t>
  </si>
  <si>
    <t>438142        GLORIA COMERCIO  6306</t>
  </si>
  <si>
    <t>90020491</t>
  </si>
  <si>
    <t>438161        INDA SUL COMERCI 6232</t>
  </si>
  <si>
    <t>90020427</t>
  </si>
  <si>
    <t>438073        FZ FARMA LTDA    6205</t>
  </si>
  <si>
    <t>90020436</t>
  </si>
  <si>
    <t>438090        M A COMERCIAL DE 6226</t>
  </si>
  <si>
    <t>90020437</t>
  </si>
  <si>
    <t>438091        ULTRAPOPULAR SAO 6186</t>
  </si>
  <si>
    <t>90020438</t>
  </si>
  <si>
    <t>438092        REDE DROGARIAS U 6187</t>
  </si>
  <si>
    <t>90020439</t>
  </si>
  <si>
    <t>438093        REDE DROGARIAS U 6188</t>
  </si>
  <si>
    <t>90020440</t>
  </si>
  <si>
    <t>438094        REDE DROGARIAS U 6183</t>
  </si>
  <si>
    <t>90020441</t>
  </si>
  <si>
    <t>438095        ULTRAPOPULAR BAR 6184</t>
  </si>
  <si>
    <t>90020442</t>
  </si>
  <si>
    <t>438096        J CRUZ LTDA      6220</t>
  </si>
  <si>
    <t>90020443</t>
  </si>
  <si>
    <t>438097        J CRUZ LTDA      6219</t>
  </si>
  <si>
    <t>90020444</t>
  </si>
  <si>
    <t>438098        J CRUZ LTDA      6218</t>
  </si>
  <si>
    <t>90020445</t>
  </si>
  <si>
    <t>438099        J CRUZ LTDA      6217</t>
  </si>
  <si>
    <t>90020446</t>
  </si>
  <si>
    <t>438100        J CRUZ LTDA      6214</t>
  </si>
  <si>
    <t>90020453</t>
  </si>
  <si>
    <t>438108        AB DUTRA COMERCI 6222</t>
  </si>
  <si>
    <t>90020410</t>
  </si>
  <si>
    <t>438046        FZ FARMA LTDA    6076</t>
  </si>
  <si>
    <t>90020406</t>
  </si>
  <si>
    <t>438040        TEXLUSK &amp; FIXA L 6128</t>
  </si>
  <si>
    <t>90020417</t>
  </si>
  <si>
    <t>438057        FZ FARMA LTDA    6146</t>
  </si>
  <si>
    <t>90020419</t>
  </si>
  <si>
    <t>438060        R. O. MARTINS PE 6156</t>
  </si>
  <si>
    <t>90020420</t>
  </si>
  <si>
    <t>438063        FZ FARMA LTDA    6075</t>
  </si>
  <si>
    <t>90020421</t>
  </si>
  <si>
    <t>438064        J CRUZ LTDA      6138</t>
  </si>
  <si>
    <t>90020422</t>
  </si>
  <si>
    <t>438065        FARMA POPULAR DR 6171</t>
  </si>
  <si>
    <t>90020424</t>
  </si>
  <si>
    <t>438068        J CRUZ LTDA      6147</t>
  </si>
  <si>
    <t>90020425</t>
  </si>
  <si>
    <t>438069        FZ FARMA LTDA    6143</t>
  </si>
  <si>
    <t>90020426</t>
  </si>
  <si>
    <t>438070        FZ FARMA LTDA    6144</t>
  </si>
  <si>
    <t>90020459</t>
  </si>
  <si>
    <t>438114        DROGARIA VITORIA 6276</t>
  </si>
  <si>
    <t>90020506</t>
  </si>
  <si>
    <t>438184        FARMABELA LTDA   6439</t>
  </si>
  <si>
    <t>90020514</t>
  </si>
  <si>
    <t>438197        GOLDEN FARMA LTD 6442</t>
  </si>
  <si>
    <t>90020515</t>
  </si>
  <si>
    <t>438198        FARMACIA GRASIAN 6482</t>
  </si>
  <si>
    <t>90020518</t>
  </si>
  <si>
    <t>438201        FREITAS ROSA SER 6471</t>
  </si>
  <si>
    <t>90020520</t>
  </si>
  <si>
    <t>438206        LOPES DROGARIA L 6487</t>
  </si>
  <si>
    <t>90020521</t>
  </si>
  <si>
    <t>438207        AGV FARMA LTDA   6499</t>
  </si>
  <si>
    <t>90020527</t>
  </si>
  <si>
    <t>438218        PAOLA SANCHES VA 6528</t>
  </si>
  <si>
    <t>90020532</t>
  </si>
  <si>
    <t>438226        DROGARIA SAO FRA 6568</t>
  </si>
  <si>
    <t>90020533</t>
  </si>
  <si>
    <t>438227        DROGARIA BLL LTD 6575</t>
  </si>
  <si>
    <t>90020534</t>
  </si>
  <si>
    <t>438228        ZK FERREIRA DROG 6574</t>
  </si>
  <si>
    <t>90020535</t>
  </si>
  <si>
    <t>438229        GLORIA MEDICAMEN 6579</t>
  </si>
  <si>
    <t>90020536</t>
  </si>
  <si>
    <t>438231        BUENO EMPREENDIM 6608</t>
  </si>
  <si>
    <t>90020542</t>
  </si>
  <si>
    <t>438237        GILSON FARMA LTD 6599</t>
  </si>
  <si>
    <t>90020544</t>
  </si>
  <si>
    <t>438241        DROGARIA KRUSEMA 6557</t>
  </si>
  <si>
    <t>90020547</t>
  </si>
  <si>
    <t>438244        POFFO COMERCIO D 6591</t>
  </si>
  <si>
    <t>90020548</t>
  </si>
  <si>
    <t>438245        VIDA FARMACIAS C 6592</t>
  </si>
  <si>
    <t>90020549</t>
  </si>
  <si>
    <t>438246        JOMASA COMERCIO  6596</t>
  </si>
  <si>
    <t>90020551</t>
  </si>
  <si>
    <t>438248        RM3 DROGARIA LTD 6582</t>
  </si>
  <si>
    <t>90020552</t>
  </si>
  <si>
    <t>438249        DROGAVAL LTDA    6600</t>
  </si>
  <si>
    <t>90020554</t>
  </si>
  <si>
    <t>438251        DROGARIA MOREIRA 6628</t>
  </si>
  <si>
    <t>90020555</t>
  </si>
  <si>
    <t>438252        FARMAVIP PRINCES 6626</t>
  </si>
  <si>
    <t>90020556</t>
  </si>
  <si>
    <t>438253        MAYUMI ENDO FARM 6625</t>
  </si>
  <si>
    <t>90020557</t>
  </si>
  <si>
    <t>438255        TADEU IMOTO &amp; CI 6643</t>
  </si>
  <si>
    <t>90020558</t>
  </si>
  <si>
    <t>438256        FARMACIAS JRL LT 6647</t>
  </si>
  <si>
    <t>90020560</t>
  </si>
  <si>
    <t>438258        CIRULLI COMERCIO 6645</t>
  </si>
  <si>
    <t>90020562</t>
  </si>
  <si>
    <t>438263        BF DROGARIAS LTD 6446</t>
  </si>
  <si>
    <t>90020564</t>
  </si>
  <si>
    <t>438268        A C P DE A GUILH 6663</t>
  </si>
  <si>
    <t>90020569</t>
  </si>
  <si>
    <t>438276        JOICE R. LEAO LT 6660</t>
  </si>
  <si>
    <t>90020570</t>
  </si>
  <si>
    <t>438277        FARMACIA FARMA20 6332</t>
  </si>
  <si>
    <t>90020572</t>
  </si>
  <si>
    <t>438279        DROGARIA DROGAPL 6524</t>
  </si>
  <si>
    <t>90020573</t>
  </si>
  <si>
    <t>438280        SJM COMERCIO DE  6669</t>
  </si>
  <si>
    <t>90020574</t>
  </si>
  <si>
    <t>438282        FARMACIA DUDA &amp;  6640</t>
  </si>
  <si>
    <t>90020575</t>
  </si>
  <si>
    <t>438283        DROGARIA SILVA R 6268</t>
  </si>
  <si>
    <t>90020576</t>
  </si>
  <si>
    <t>438284        F DE BRITO MOREI 6665</t>
  </si>
  <si>
    <t>90020577</t>
  </si>
  <si>
    <t>438285        FARMACIA BARBIER 6688</t>
  </si>
  <si>
    <t>90020579</t>
  </si>
  <si>
    <t>438288        DROGARIA E PERFU 6697</t>
  </si>
  <si>
    <t>90020580</t>
  </si>
  <si>
    <t>438290        FARMACIA FENELON 6692</t>
  </si>
  <si>
    <t>90020583</t>
  </si>
  <si>
    <t>438294        FLAVIO ANTERO RO 6714</t>
  </si>
  <si>
    <t>90020586</t>
  </si>
  <si>
    <t>438299        COMERCIO DE MEDI 6529</t>
  </si>
  <si>
    <t>90020591</t>
  </si>
  <si>
    <t>438306        INTERATIVA PHARM 6746</t>
  </si>
  <si>
    <t>90020595</t>
  </si>
  <si>
    <t>438310        FARMACIA FARMACE 6754</t>
  </si>
  <si>
    <t>90020612</t>
  </si>
  <si>
    <t>438329        TRIANGULO DROGAR 6799</t>
  </si>
  <si>
    <t>90020624</t>
  </si>
  <si>
    <t>438343        COELHO E CORREA  6773</t>
  </si>
  <si>
    <t>90020625</t>
  </si>
  <si>
    <t>438344        DROGARIA W. &amp; L. 6780</t>
  </si>
  <si>
    <t>90020627</t>
  </si>
  <si>
    <t>438346        TAKAMIYA COMERCI 6809</t>
  </si>
  <si>
    <t>90020634</t>
  </si>
  <si>
    <t>438355        BONA FARMA LTDA  6843</t>
  </si>
  <si>
    <t>90020638</t>
  </si>
  <si>
    <t>438360        FARMACIA DALILA  6852</t>
  </si>
  <si>
    <t>90020639</t>
  </si>
  <si>
    <t>438361        DROGARIA MANTOVA 6876</t>
  </si>
  <si>
    <t>90020650</t>
  </si>
  <si>
    <t>438372        FARMACIA BRESCIA 6907</t>
  </si>
  <si>
    <t>90020658</t>
  </si>
  <si>
    <t>438383        FERREIRA &amp; FERRE 6932</t>
  </si>
  <si>
    <t>90020662</t>
  </si>
  <si>
    <t>438387        FARMACIA LAUTERT 6964</t>
  </si>
  <si>
    <t>90020663</t>
  </si>
  <si>
    <t>438388        PRESTOFARMA DROG 6980</t>
  </si>
  <si>
    <t>90020664</t>
  </si>
  <si>
    <t>438390        MENDONCA &amp; PERSC 6989</t>
  </si>
  <si>
    <t>236986 / 122564</t>
  </si>
  <si>
    <t>EF</t>
  </si>
  <si>
    <t>90020669</t>
  </si>
  <si>
    <t>DG</t>
  </si>
  <si>
    <t>1600000600</t>
  </si>
  <si>
    <t>MAIS MOBI SERVIC 6383</t>
  </si>
  <si>
    <t>90020665</t>
  </si>
  <si>
    <t>236763 / 122250</t>
  </si>
  <si>
    <t>90020670</t>
  </si>
  <si>
    <t>237239 / 122803</t>
  </si>
  <si>
    <t>90020667</t>
  </si>
  <si>
    <t>1600000599</t>
  </si>
  <si>
    <t>1600000598</t>
  </si>
  <si>
    <t>1600000597</t>
  </si>
  <si>
    <t>Símb.prtds.em aberto/comp</t>
  </si>
  <si>
    <t>Conta</t>
  </si>
  <si>
    <t>Data do documento</t>
  </si>
  <si>
    <t>Atribuição</t>
  </si>
  <si>
    <t>Cód.Razão Especial</t>
  </si>
  <si>
    <t>Referência</t>
  </si>
  <si>
    <t>Ano/Mês</t>
  </si>
  <si>
    <t>Data de lançamento</t>
  </si>
  <si>
    <t>Tipo de documento</t>
  </si>
  <si>
    <t>Nº documento</t>
  </si>
  <si>
    <t>Texto</t>
  </si>
  <si>
    <t>Montante em moeda interna</t>
  </si>
  <si>
    <t>Centro custo</t>
  </si>
  <si>
    <t>Empresa</t>
  </si>
  <si>
    <t>Centro de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</si>
</sst>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44" fontId="0" fillId="0" borderId="0" xfId="0" applyNumberFormat="1" applyAlignment="1">
      <alignment vertical="top"/>
    </xf>
    <xf numFmtId="44" fontId="0" fillId="2" borderId="1" xfId="0" applyNumberFormat="1" applyFill="1" applyBorder="1" applyAlignment="1">
      <alignment vertical="top" wrapText="1"/>
    </xf>
    <xf numFmtId="4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Lançado@" descr="@01\QLanç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Lançado@" descr="@01\QLançad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Lançado@" descr="@01\QLanç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Lançado@" descr="@01\QLança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Lançado@" descr="@01\QLançado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Lançado@" descr="@01\QLançado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Lançado@" descr="@01\QLanç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Lançado@" descr="@01\QLançad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Lançado@" descr="@01\QLançado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Lançado@" descr="@01\QLançado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Lançado@" descr="@01\QLançado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Lançado@" descr="@01\QLançado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Lançado@" descr="@01\QLançado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Lançado@" descr="@01\QLançado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Lançado@" descr="@01\QLanç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Lançado@" descr="@01\QLançado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Lançado@" descr="@01\QLançado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Lançado@" descr="@01\QLançado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Lançado@" descr="@01\QLançado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Lançado@" descr="@01\QLançado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Lançado@" descr="@01\QLançado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Lançado@" descr="@01\QLançado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Lançado@" descr="@01\QLançado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Lançado@" descr="@01\QLançado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Lançado@" descr="@01\QLançado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Lançado@" descr="@01\QLançado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Lançado@" descr="@01\QLançado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Lançado@" descr="@01\QLançado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Lançado@" descr="@01\QLançado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Lançado@" descr="@01\QLançado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Lançado@" descr="@01\QLançado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Lançado@" descr="@01\QLançado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Lançado@" descr="@01\QLançado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Lançado@" descr="@01\QLançado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Lançado@" descr="@01\QLançado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Lançado@" descr="@01\QLançado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Lançado@" descr="@01\QLançado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Lançado@" descr="@01\QLançado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Lançado@" descr="@01\QLançado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Lançado@" descr="@01\QLançado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Lançado@" descr="@01\QLançado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Lançado@" descr="@01\QLançado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Lançado@" descr="@01\QLançado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Lançado@" descr="@01\QLançado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Lançado@" descr="@01\QLançado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Lançado@" descr="@01\QLançado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Lançado@" descr="@01\QLançado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Lançado@" descr="@01\QLançado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Lançado@" descr="@01\QLançado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Lançado@" descr="@01\QLançado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Lançado@" descr="@01\QLançado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Lançado@" descr="@01\QLançado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Lançado@" descr="@01\QLançado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Lançado@" descr="@01\QLançado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Lançado@" descr="@01\QLançado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Lançado@" descr="@01\QLançado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Lançado@" descr="@01\QLançado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Lançado@" descr="@01\QLançado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Lançado@" descr="@01\QLançado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Lançado@" descr="@01\QLançado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Lançado@" descr="@01\QLançado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Lançado@" descr="@01\QLançado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Lançado@" descr="@01\QLançado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Lançado@" descr="@01\QLançado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Lançado@" descr="@01\QLançado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Lançado@" descr="@01\QLançado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Lançado@" descr="@01\QLançado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Lançado@" descr="@01\QLançado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Lançado@" descr="@01\QLançado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Lançado@" descr="@01\QLançado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Lançado@" descr="@01\QLançado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Lançado@" descr="@01\QLançado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Lançado@" descr="@01\QLançado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Lançado@" descr="@01\QLançado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Lançado@" descr="@01\QLançado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Lançado@" descr="@01\QLançado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Lançado@" descr="@01\QLançado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Lançado@" descr="@01\QLançado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Lançado@" descr="@01\QLançado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Lançado@" descr="@01\QLançado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Lançado@" descr="@01\QLançado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Lançado@" descr="@01\QLançado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Lançado@" descr="@01\QLançado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Lançado@" descr="@01\QLançado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Lançado@" descr="@01\QLançado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Lançado@" descr="@01\QLançado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Lançado@" descr="@01\QLançado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Lançado@" descr="@01\QLançado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Lançado@" descr="@01\QLançado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Lançado@" descr="@01\QLançado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Lançado@" descr="@01\QLançado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Lançado@" descr="@01\QLançado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Lançado@" descr="@01\QLançado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Lançado@" descr="@01\QLançado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Lançado@" descr="@01\QLançado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Lançado@" descr="@01\QLançado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Lançado@" descr="@01\QLançado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Lançado@" descr="@01\QLançado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Lançado@" descr="@01\QLançado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Lançado@" descr="@01\QLançado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18" name="Picture@01\QLançado@" descr="@01\QLançado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Lançado@" descr="@01\QLançado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Lançado@" descr="@01\QLançado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Lançado@" descr="@01\QLançado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Lançado@" descr="@01\QLançado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Lançado@" descr="@01\QLançado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Lançado@" descr="@01\QLançado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Lançado@" descr="@01\QLançado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Lançado@" descr="@01\QLançado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Lançado@" descr="@01\QLançado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Lançado@" descr="@01\QLançado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Lançado@" descr="@01\QLançado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Lançado@" descr="@01\QLançado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Lançado@" descr="@01\QLançado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Lançado@" descr="@01\QLançado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Lançado@" descr="@01\QLançado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Lançado@" descr="@01\QLançado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Lançado@" descr="@01\QLançado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Lançado@" descr="@01\QLançado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Lançado@" descr="@01\QLançado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Lançado@" descr="@01\QLançado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Lançado@" descr="@01\QLançado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Lançado@" descr="@01\QLançado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Lançado@" descr="@01\QLançado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Lançado@" descr="@01\QLançado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Lançado@" descr="@01\QLançado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Lançado@" descr="@01\QLançado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Lançado@" descr="@01\QLançado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Lançado@" descr="@01\QLançado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Lançado@" descr="@01\QLançado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Lançado@" descr="@01\QLançado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Lançado@" descr="@01\QLançado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Lançado@" descr="@01\QLançado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Lançado@" descr="@01\QLançado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Lançado@" descr="@01\QLançado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Lançado@" descr="@01\QLançado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Lançado@" descr="@01\QLançado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Lançado@" descr="@01\QLançado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Lançado@" descr="@01\QLançado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Lançado@" descr="@01\QLançado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Lançado@" descr="@01\QLançado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Lançado@" descr="@01\QLançado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Lançado@" descr="@01\QLançado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Lançado@" descr="@01\QLançado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Lançado@" descr="@01\QLançado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Lançado@" descr="@01\QLançado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Lançado@" descr="@01\QLançado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Lançado@" descr="@01\QLançado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Lançado@" descr="@01\QLançado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Lançado@" descr="@01\QLançado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Lançado@" descr="@01\QLançado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Lançado@" descr="@01\QLançado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Lançado@" descr="@01\QLançado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Lançado@" descr="@01\QLançado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Lançado@" descr="@01\QLançado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Lançado@" descr="@01\QLançado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Lançado@" descr="@01\QLançado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Lançado@" descr="@01\QLançado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Lançado@" descr="@01\QLançado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Lançado@" descr="@01\QLançado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Lançado@" descr="@01\QLançado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Lançado@" descr="@01\QLançado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Lançado@" descr="@01\QLançado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Lançado@" descr="@01\QLançado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Lançado@" descr="@01\QLançado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Lançado@" descr="@01\QLançado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Lançado@" descr="@01\QLançado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Lançado@" descr="@01\QLançado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Lançado@" descr="@01\QLançado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Lançado@" descr="@01\QLançado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Lançado@" descr="@01\QLançado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Lançado@" descr="@01\QLançado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Lançado@" descr="@01\QLançado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Lançado@" descr="@01\QLançado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Lançado@" descr="@01\QLançado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Lançado@" descr="@01\QLançado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Lançado@" descr="@01\QLançado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Lançado@" descr="@01\QLançado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Lançado@" descr="@01\QLançado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Lançado@" descr="@01\QLançado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Lançado@" descr="@01\QLançado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Lançado@" descr="@01\QLançado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Lançado@" descr="@01\QLançado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Lançado@" descr="@01\QLançado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Lançado@" descr="@01\QLançado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Lançado@" descr="@01\QLançado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Lançado@" descr="@01\QLançado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Lançado@" descr="@01\QLançado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Lançado@" descr="@01\QLançado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Lançado@" descr="@01\QLançado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Lançado@" descr="@01\QLançado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Lançado@" descr="@01\QLançado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Lançado@" descr="@01\QLançado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Lançado@" descr="@01\QLançado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Lançado@" descr="@01\QLançado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Lançado@" descr="@01\QLançado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Lançado@" descr="@01\QLançado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Lançado@" descr="@01\QLançado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Lançado@" descr="@01\QLançado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Lançado@" descr="@01\QLançado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Lançado@" descr="@01\QLançado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Lançado@" descr="@01\QLançado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Lançado@" descr="@01\QLançado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Lançado@" descr="@01\QLançado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Lançado@" descr="@01\QLançado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Lançado@" descr="@01\QLançado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Lançado@" descr="@01\QLançado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Lançado@" descr="@01\QLançado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Lançado@" descr="@01\QLançado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Lançado@" descr="@01\QLançado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Lançado@" descr="@01\QLançado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Lançado@" descr="@01\QLançado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Lançado@" descr="@01\QLançado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231" name="Picture@01\QLançado@" descr="@01\QLançado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Lançado@" descr="@01\QLançado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Lançado@" descr="@01\QLançado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Lançado@" descr="@01\QLançado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Lançado@" descr="@01\QLançado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Lançado@" descr="@01\QLançado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Lançado@" descr="@01\QLançado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Lançado@" descr="@01\QLançado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Lançado@" descr="@01\QLançado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Lançado@" descr="@01\QLançado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Lançado@" descr="@01\QLançado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Lançado@" descr="@01\QLançado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Lançado@" descr="@01\QLançado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Lançado@" descr="@01\QLançado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Lançado@" descr="@01\QLançado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Lançado@" descr="@01\QLançado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Lançado@" descr="@01\QLançado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Lançado@" descr="@01\QLançado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Lançado@" descr="@01\QLançado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Lançado@" descr="@01\QLançado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Lançado@" descr="@01\QLançado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Lançado@" descr="@01\QLançado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Lançado@" descr="@01\QLançado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Lançado@" descr="@01\QLançado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Lançado@" descr="@01\QLançado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Lançado@" descr="@01\QLançado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Lançado@" descr="@01\QLançado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Lançado@" descr="@01\QLançado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Lançado@" descr="@01\QLançado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Lançado@" descr="@01\QLançado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Lançado@" descr="@01\QLançado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Lançado@" descr="@01\QLançado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Lançado@" descr="@01\QLançado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Lançado@" descr="@01\QLançado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Lançado@" descr="@01\QLançado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Lançado@" descr="@01\QLançado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Lançado@" descr="@01\QLançado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Lançado@" descr="@01\QLançado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Lançado@" descr="@01\QLançado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Lançado@" descr="@01\QLançado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Lançado@" descr="@01\QLançado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Lançado@" descr="@01\QLançado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Lançado@" descr="@01\QLançado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Lançado@" descr="@01\QLançado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Lançado@" descr="@01\QLançado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Lançado@" descr="@01\QLançado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Lançado@" descr="@01\QLançado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Lançado@" descr="@01\QLançado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Lançado@" descr="@01\QLançado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Lançado@" descr="@01\QLançado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Lançado@" descr="@01\QLançado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Lançado@" descr="@01\QLançado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Lançado@" descr="@01\QLançado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Lançado@" descr="@01\QLançado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Lançado@" descr="@01\QLançado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Lançado@" descr="@01\QLançado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Lançado@" descr="@01\QLançado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Lançado@" descr="@01\QLançado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Lançado@" descr="@01\QLançado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Lançado@" descr="@01\QLançado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Lançado@" descr="@01\QLançado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Lançado@" descr="@01\QLançado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Lançado@" descr="@01\QLançado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Lançado@" descr="@01\QLançado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Lançado@" descr="@01\QLançado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Lançado@" descr="@01\QLançado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Lançado@" descr="@01\QLançado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Lançado@" descr="@01\QLançado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Lançado@" descr="@01\QLançado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Lançado@" descr="@01\QLançado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Lançado@" descr="@01\QLançado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Lançado@" descr="@01\QLançado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Lançado@" descr="@01\QLançado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Lançado@" descr="@01\QLançado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Lançado@" descr="@01\QLançado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Lançado@" descr="@01\QLançado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Lançado@" descr="@01\QLançado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Lançado@" descr="@01\QLançado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Lançado@" descr="@01\QLançado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Lançado@" descr="@01\QLançado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Lançado@" descr="@01\QLançado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Lançado@" descr="@01\QLançado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Lançado@" descr="@01\QLançado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Lançado@" descr="@01\QLançado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Lançado@" descr="@01\QLançado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Lançado@" descr="@01\QLançado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Lançado@" descr="@01\QLançado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Lançado@" descr="@01\QLançado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Lançado@" descr="@01\QLançado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Lançado@" descr="@01\QLançado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Lançado@" descr="@01\QLançado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Lançado@" descr="@01\QLançado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Lançado@" descr="@01\QLançado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Lançado@" descr="@01\QLançado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Lançado@" descr="@01\QLançado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Lançado@" descr="@01\QLançado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Lançado@" descr="@01\QLançado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Lançado@" descr="@01\QLançado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Lançado@" descr="@01\QLançado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Lançado@" descr="@01\QLançado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Lançado@" descr="@01\QLançado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Lançado@" descr="@01\QLançado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Lançado@" descr="@01\QLançado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Lançado@" descr="@01\QLançado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Lançado@" descr="@01\QLançado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Lançado@" descr="@01\QLançado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Lançado@" descr="@01\QLançado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Lançado@" descr="@01\QLançado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Lançado@" descr="@01\QLançado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Lançado@" descr="@01\QLançado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Lançado@" descr="@01\QLançado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Lançado@" descr="@01\QLançado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Lançado@" descr="@01\QLançado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Lançado@" descr="@01\QLançado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Lançado@" descr="@01\QLançado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Lançado@" descr="@01\QLançado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Lançado@" descr="@01\QLançado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Lançado@" descr="@01\QLançado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Lançado@" descr="@01\QLançado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Lançado@" descr="@01\QLançado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Lançado@" descr="@01\QLançado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Lançado@" descr="@01\QLançado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Lançado@" descr="@01\QLançado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Lançado@" descr="@01\QLançado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Lançado@" descr="@01\QLançado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Lançado@" descr="@01\QLançado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Lançado@" descr="@01\QLançado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Lançado@" descr="@01\QLançado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Lançado@" descr="@01\QLançado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Lançado@" descr="@01\QLançado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Lançado@" descr="@01\QLançado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Lançado@" descr="@01\QLançado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Lançado@" descr="@01\QLançado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Lançado@" descr="@01\QLançado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Lançado@" descr="@01\QLançado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Lançado@" descr="@01\QLançado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Lançado@" descr="@01\QLançado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Lançado@" descr="@01\QLançado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Lançado@" descr="@01\QLançado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Lançado@" descr="@01\QLançado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Lançado@" descr="@01\QLançado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Lançado@" descr="@01\QLançado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Lançado@" descr="@01\QLançado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Lançado@" descr="@01\QLançado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Lançado@" descr="@01\QLançado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Lançado@" descr="@01\QLançado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Lançado@" descr="@01\QLançado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Lançado@" descr="@01\QLançado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Lançado@" descr="@01\QLançado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Lançado@" descr="@01\QLançado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Lançado@" descr="@01\QLançado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Lançado@" descr="@01\QLançado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Lançado@" descr="@01\QLançado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Lançado@" descr="@01\QLançado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Lançado@" descr="@01\QLançado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Lançado@" descr="@01\QLançado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Lançado@" descr="@01\QLançado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Lançado@" descr="@01\QLançado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Lançado@" descr="@01\QLançado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Lançado@" descr="@01\QLançado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Lançado@" descr="@01\QLançado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Lançado@" descr="@01\QLançado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Lançado@" descr="@01\QLançado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Lançado@" descr="@01\QLançado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Lançado@" descr="@01\QLançado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Lançado@" descr="@01\QLançado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Lançado@" descr="@01\QLançado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Lançado@" descr="@01\QLançado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Lançado@" descr="@01\QLançado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Lançado@" descr="@01\QLançado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Lançado@" descr="@01\QLançado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Lançado@" descr="@01\QLançado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Lançado@" descr="@01\QLançado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Lançado@" descr="@01\QLançado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Lançado@" descr="@01\QLançado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Lançado@" descr="@01\QLançado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Lançado@" descr="@01\QLançado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Lançado@" descr="@01\QLançado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Lançado@" descr="@01\QLançado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Lançado@" descr="@01\QLançado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Lançado@" descr="@01\QLançado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Lançado@" descr="@01\QLançado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Lançado@" descr="@01\QLançado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Lançado@" descr="@01\QLançado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Lançado@" descr="@01\QLançado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Lançado@" descr="@01\QLançado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Lançado@" descr="@01\QLançado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Lançado@" descr="@01\QLançado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Lançado@" descr="@01\QLançado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Lançado@" descr="@01\QLançado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Lançado@" descr="@01\QLançado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Lançado@" descr="@01\QLançado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Lançado@" descr="@01\QLançado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Lançado@" descr="@01\QLançado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Lançado@" descr="@01\QLançado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Lançado@" descr="@01\QLançado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Lançado@" descr="@01\QLançado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Lançado@" descr="@01\QLançado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Lançado@" descr="@01\QLançado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Lançado@" descr="@01\QLançado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Lançado@" descr="@01\QLançado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Lançado@" descr="@01\QLançado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Lançado@" descr="@01\QLançado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Lançado@" descr="@01\QLançado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Lançado@" descr="@01\QLançado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Lançado@" descr="@01\QLançado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Lançado@" descr="@01\QLançado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Lançado@" descr="@01\QLançado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Lançado@" descr="@01\QLançado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Lançado@" descr="@01\QLançado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Lançado@" descr="@01\QLançado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Lançado@" descr="@01\QLançado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Lançado@" descr="@01\QLançado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Lançado@" descr="@01\QLançado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Lançado@" descr="@01\QLançado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Lançado@" descr="@01\QLançado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Lançado@" descr="@01\QLançado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Lançado@" descr="@01\QLançado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Lançado@" descr="@01\QLançado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Lançado@" descr="@01\QLançado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Lançado@" descr="@01\QLançado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Lançado@" descr="@01\QLançado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Lançado@" descr="@01\QLançado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Lançado@" descr="@01\QLançado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Lançado@" descr="@01\QLançado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Lançado@" descr="@01\QLançado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Lançado@" descr="@01\QLançado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Lançado@" descr="@01\QLançado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Lançado@" descr="@01\QLançado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Lançado@" descr="@01\QLançado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Lançado@" descr="@01\QLançado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Lançado@" descr="@01\QLançado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Lançado@" descr="@01\QLançado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Lançado@" descr="@01\QLançado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Lançado@" descr="@01\QLançado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Lançado@" descr="@01\QLançado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Lançado@" descr="@01\QLançado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Lançado@" descr="@01\QLançado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Lançado@" descr="@01\QLançado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Lançado@" descr="@01\QLançado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Lançado@" descr="@01\QLançado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Lançado@" descr="@01\QLançado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Lançado@" descr="@01\QLançado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Lançado@" descr="@01\QLançado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Lançado@" descr="@01\QLançado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Lançado@" descr="@01\QLançado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Lançado@" descr="@01\QLançado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Lançado@" descr="@01\QLançado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Lançado@" descr="@01\QLançado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Lançado@" descr="@01\QLançado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Lançado@" descr="@01\QLançado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Lançado@" descr="@01\QLançado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Lançado@" descr="@01\QLançado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Lançado@" descr="@01\QLançado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Lançado@" descr="@01\QLançado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Lançado@" descr="@01\QLançado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Lançado@" descr="@01\QLançado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Lançado@" descr="@01\QLançado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Lançado@" descr="@01\QLançado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Lançado@" descr="@01\QLançado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Lançado@" descr="@01\QLançado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Lançado@" descr="@01\QLançado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Lançado@" descr="@01\QLançado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Lançado@" descr="@01\QLançado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Lançado@" descr="@01\QLançado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Lançado@" descr="@01\QLançado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Lançado@" descr="@01\QLançado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Lançado@" descr="@01\QLançado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Lançado@" descr="@01\QLançado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Lançado@" descr="@01\QLançado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Lançado@" descr="@01\QLançado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Lançado@" descr="@01\QLançado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Lançado@" descr="@01\QLançado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Lançado@" descr="@01\QLançado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Lançado@" descr="@01\QLançado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Lançado@" descr="@01\QLançado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Lançado@" descr="@01\QLançado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Lançado@" descr="@01\QLançado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Lançado@" descr="@01\QLançado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Lançado@" descr="@01\QLançado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Lançado@" descr="@01\QLançado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Lançado@" descr="@01\QLançado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Lançado@" descr="@01\QLançado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Lançado@" descr="@01\QLançado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Lançado@" descr="@01\QLançado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Lançado@" descr="@01\QLançado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Lançado@" descr="@01\QLançado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Lançado@" descr="@01\QLançado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Lançado@" descr="@01\QLançado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Lançado@" descr="@01\QLançado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Lançado@" descr="@01\QLançado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Lançado@" descr="@01\QLançado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Lançado@" descr="@01\QLançado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Lançado@" descr="@01\QLançado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Lançado@" descr="@01\QLançado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Lançado@" descr="@01\QLançado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Lançado@" descr="@01\QLançado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Lançado@" descr="@01\QLançado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Lançado@" descr="@01\QLançado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Lançado@" descr="@01\QLançado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Lançado@" descr="@01\QLançado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Lançado@" descr="@01\QLançado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Lançado@" descr="@01\QLançado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Lançado@" descr="@01\QLançado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Lançado@" descr="@01\QLançado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Lançado@" descr="@01\QLançado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Lançado@" descr="@01\QLançado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Lançado@" descr="@01\QLançado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Lançado@" descr="@01\QLançado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Lançado@" descr="@01\QLançado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Lançado@" descr="@01\QLançado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Lançado@" descr="@01\QLançado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Lançado@" descr="@01\QLançado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Lançado@" descr="@01\QLançado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Lançado@" descr="@01\QLançado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Lançado@" descr="@01\QLançado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Lançado@" descr="@01\QLançado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Lançado@" descr="@01\QLançado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Lançado@" descr="@01\QLançado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Lançado@" descr="@01\QLançado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Lançado@" descr="@01\QLançado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Lançado@" descr="@01\QLançado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Lançado@" descr="@01\QLançado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Lançado@" descr="@01\QLançado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Lançado@" descr="@01\QLançado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Lançado@" descr="@01\QLançado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Lançado@" descr="@01\QLançado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Lançado@" descr="@01\QLançado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Lançado@" descr="@01\QLançado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Lançado@" descr="@01\QLançado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Lançado@" descr="@01\QLançado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Lançado@" descr="@01\QLançado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Lançado@" descr="@01\QLançado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Lançado@" descr="@01\QLançado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Lançado@" descr="@01\QLançado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Lançado@" descr="@01\QLançado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Lançado@" descr="@01\QLançado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Lançado@" descr="@01\QLançado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Lançado@" descr="@01\QLançado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Lançado@" descr="@01\QLançado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Lançado@" descr="@01\QLançado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Lançado@" descr="@01\QLançado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Lançado@" descr="@01\QLançado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Lançado@" descr="@01\QLançado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Lançado@" descr="@01\QLançado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Lançado@" descr="@01\QLançado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Lançado@" descr="@01\QLançado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Lançado@" descr="@01\QLançado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Lançado@" descr="@01\QLançado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Lançado@" descr="@01\QLançado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Lançado@" descr="@01\QLançado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Lançado@" descr="@01\QLançado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Lançado@" descr="@01\QLançado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Lançado@" descr="@01\QLançado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Lançado@" descr="@01\QLançado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Lançado@" descr="@01\QLançado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Lançado@" descr="@01\QLançado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Lançado@" descr="@01\QLançado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Lançado@" descr="@01\QLançado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Lançado@" descr="@01\QLançado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Lançado@" descr="@01\QLançado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Lançado@" descr="@01\QLançado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Lançado@" descr="@01\QLançado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Lançado@" descr="@01\QLançado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Lançado@" descr="@01\QLançado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Lançado@" descr="@01\QLançado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Lançado@" descr="@01\QLançado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Lançado@" descr="@01\QLançado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Lançado@" descr="@01\QLançado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Lançado@" descr="@01\QLançado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Lançado@" descr="@01\QLançado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Lançado@" descr="@01\QLançado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Lançado@" descr="@01\QLançado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Lançado@" descr="@01\QLançado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Lançado@" descr="@01\QLançado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Lançado@" descr="@01\QLançado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Lançado@" descr="@01\QLançado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Lançado@" descr="@01\QLançado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Lançado@" descr="@01\QLançado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Lançado@" descr="@01\QLançado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Lançado@" descr="@01\QLançado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Lançado@" descr="@01\QLançado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Lançado@" descr="@01\QLançado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Lançado@" descr="@01\QLançado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Lançado@" descr="@01\QLançado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Lançado@" descr="@01\QLançado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Lançado@" descr="@01\QLançado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Lançado@" descr="@01\QLançado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Lançado@" descr="@01\QLançado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Lançado@" descr="@01\QLançado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Lançado@" descr="@01\QLançado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Lançado@" descr="@01\QLançado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Lançado@" descr="@01\QLançado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Lançado@" descr="@01\QLançado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Lançado@" descr="@01\QLançado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Lançado@" descr="@01\QLançado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Lançado@" descr="@01\QLançado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Lançado@" descr="@01\QLançado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Lançado@" descr="@01\QLançado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Lançado@" descr="@01\QLançado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Lançado@" descr="@01\QLançado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Lançado@" descr="@01\QLançado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Lançado@" descr="@01\QLançado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Lançado@" descr="@01\QLançado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Lançado@" descr="@01\QLançado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Lançado@" descr="@01\QLançado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Lançado@" descr="@01\QLançado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Lançado@" descr="@01\QLançado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Lançado@" descr="@01\QLançado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Lançado@" descr="@01\QLançado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Lançado@" descr="@01\QLançado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Lançado@" descr="@01\QLançado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Lançado@" descr="@01\QLançado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Lançado@" descr="@01\QLançado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Lançado@" descr="@01\QLançado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Lançado@" descr="@01\QLançado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Lançado@" descr="@01\QLançado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Lançado@" descr="@01\QLançado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Lançado@" descr="@01\QLançado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Lançado@" descr="@01\QLançado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Lançado@" descr="@01\QLançado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Lançado@" descr="@01\QLançado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Lançado@" descr="@01\QLançado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Lançado@" descr="@01\QLançado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Lançado@" descr="@01\QLançado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Lançado@" descr="@01\QLançado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Lançado@" descr="@01\QLançado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Lançado@" descr="@01\QLançado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Lançado@" descr="@01\QLançado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Lançado@" descr="@01\QLançado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Lançado@" descr="@01\QLançado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Lançado@" descr="@01\QLançado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Lançado@" descr="@01\QLançado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Lançado@" descr="@01\QLançado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Lançado@" descr="@01\QLançado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Lançado@" descr="@01\QLançado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Lançado@" descr="@01\QLançado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Lançado@" descr="@01\QLançado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Lançado@" descr="@01\QLançado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Lançado@" descr="@01\QLançado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Lançado@" descr="@01\QLançado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Lançado@" descr="@01\QLançado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Lançado@" descr="@01\QLançado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Lançado@" descr="@01\QLançado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Lançado@" descr="@01\QLançado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Lançado@" descr="@01\QLançado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Lançado@" descr="@01\QLançado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Lançado@" descr="@01\QLançado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Lançado@" descr="@01\QLançado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Lançado@" descr="@01\QLançado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Lançado@" descr="@01\QLançado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Lançado@" descr="@01\QLançado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Lançado@" descr="@01\QLançado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Lançado@" descr="@01\QLançado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Lançado@" descr="@01\QLançado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Lançado@" descr="@01\QLançado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Lançado@" descr="@01\QLançado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Lançado@" descr="@01\QLançado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Lançado@" descr="@01\QLançado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Lançado@" descr="@01\QLançado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Lançado@" descr="@01\QLançado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Lançado@" descr="@01\QLançado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Lançado@" descr="@01\QLançado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Lançado@" descr="@01\QLançado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Lançado@" descr="@01\QLançado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Lançado@" descr="@01\QLançado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Lançado@" descr="@01\QLançado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Lançado@" descr="@01\QLançado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Lançado@" descr="@01\QLançado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Lançado@" descr="@01\QLançado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Lançado@" descr="@01\QLançado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Lançado@" descr="@01\QLançado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Lançado@" descr="@01\QLançado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Lançado@" descr="@01\QLançado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Lançado@" descr="@01\QLançado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Lançado@" descr="@01\QLançado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Lançado@" descr="@01\QLançado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Lançado@" descr="@01\QLançado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Lançado@" descr="@01\QLançado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Lançado@" descr="@01\QLançado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Lançado@" descr="@01\QLançado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Lançado@" descr="@01\QLançado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Lançado@" descr="@01\QLançado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Lançado@" descr="@01\QLançado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Lançado@" descr="@01\QLançado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Lançado@" descr="@01\QLançado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Lançado@" descr="@01\QLançado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Lançado@" descr="@01\QLançado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Lançado@" descr="@01\QLançado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Lançado@" descr="@01\QLançado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Lançado@" descr="@01\QLançado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Lançado@" descr="@01\QLançado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Lançado@" descr="@01\QLançado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Lançado@" descr="@01\QLançado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Lançado@" descr="@01\QLançado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Lançado@" descr="@01\QLançado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Lançado@" descr="@01\QLançado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Lançado@" descr="@01\QLançado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Lançado@" descr="@01\QLançado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Lançado@" descr="@01\QLançado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Lançado@" descr="@01\QLançado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Lançado@" descr="@01\QLançado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Lançado@" descr="@01\QLançado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Lançado@" descr="@01\QLançado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Lançado@" descr="@01\QLançado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Lançado@" descr="@01\QLançado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Lançado@" descr="@01\QLançado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Lançado@" descr="@01\QLançado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Lançado@" descr="@01\QLançado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Lançado@" descr="@01\QLançado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Lançado@" descr="@01\QLançado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Lançado@" descr="@01\QLançado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Lançado@" descr="@01\QLançado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Lançado@" descr="@01\QLançado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Lançado@" descr="@01\QLançado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Lançado@" descr="@01\QLançado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Lançado@" descr="@01\QLançado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Lançado@" descr="@01\QLançado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Lançado@" descr="@01\QLançado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Lançado@" descr="@01\QLançado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Lançado@" descr="@01\QLançado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Lançado@" descr="@01\QLançado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Lançado@" descr="@01\QLançado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Lançado@" descr="@01\QLançado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Lançado@" descr="@01\QLançado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Lançado@" descr="@01\QLançado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Lançado@" descr="@01\QLançado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Lançado@" descr="@01\QLançado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Lançado@" descr="@01\QLançado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Lançado@" descr="@01\QLançado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Lançado@" descr="@01\QLançado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Lançado@" descr="@01\QLançado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Lançado@" descr="@01\QLançado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Lançado@" descr="@01\QLançado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Lançado@" descr="@01\QLançado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Lançado@" descr="@01\QLançado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Lançado@" descr="@01\QLançado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Lançado@" descr="@01\QLançado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Lançado@" descr="@01\QLançado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Lançado@" descr="@01\QLançado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Lançado@" descr="@01\QLançado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Lançado@" descr="@01\QLançado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Lançado@" descr="@01\QLançado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Lançado@" descr="@01\QLançado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Lançado@" descr="@01\QLançado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Lançado@" descr="@01\QLançado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Lançado@" descr="@01\QLançado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Lançado@" descr="@01\QLançado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Lançado@" descr="@01\QLançado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Lançado@" descr="@01\QLançado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Lançado@" descr="@01\QLançado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Lançado@" descr="@01\QLançado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Lançado@" descr="@01\QLançado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Lançado@" descr="@01\QLançado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Lançado@" descr="@01\QLançado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Lançado@" descr="@01\QLançado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Lançado@" descr="@01\QLançado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Lançado@" descr="@01\QLançado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Lançado@" descr="@01\QLançado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Lançado@" descr="@01\QLançado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Lançado@" descr="@01\QLançado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Lançado@" descr="@01\QLançado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Lançado@" descr="@01\QLançado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Lançado@" descr="@01\QLançado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Lançado@" descr="@01\QLançado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Lançado@" descr="@01\QLançado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Lançado@" descr="@01\QLançado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Lançado@" descr="@01\QLançado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Lançado@" descr="@01\QLançado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Lançado@" descr="@01\QLançado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Lançado@" descr="@01\QLançado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Lançado@" descr="@01\QLançado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Lançado@" descr="@01\QLançado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Lançado@" descr="@01\QLançado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Lançado@" descr="@01\QLançado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Lançado@" descr="@01\QLançado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Lançado@" descr="@01\QLançado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Lançado@" descr="@01\QLançado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Lançado@" descr="@01\QLançado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Lançado@" descr="@01\QLançado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Lançado@" descr="@01\QLançado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Lançado@" descr="@01\QLançado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Lançado@" descr="@01\QLançado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Lançado@" descr="@01\QLançado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Lançado@" descr="@01\QLançado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Lançado@" descr="@01\QLançado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Lançado@" descr="@01\QLançado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Lançado@" descr="@01\QLançado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Lançado@" descr="@01\QLançado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Lançado@" descr="@01\QLançado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Lançado@" descr="@01\QLançado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Lançado@" descr="@01\QLançado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Lançado@" descr="@01\QLançado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Lançado@" descr="@01\QLançado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Lançado@" descr="@01\QLançado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Lançado@" descr="@01\QLançado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Lançado@" descr="@01\QLançado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Lançado@" descr="@01\QLançado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Lançado@" descr="@01\QLançado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Lançado@" descr="@01\QLançado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Lançado@" descr="@01\QLançado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Lançado@" descr="@01\QLançado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Lançado@" descr="@01\QLançado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Lançado@" descr="@01\QLançado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Lançado@" descr="@01\QLançado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Lançado@" descr="@01\QLançado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Lançado@" descr="@01\QLançado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Lançado@" descr="@01\QLançado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Lançado@" descr="@01\QLançado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Lançado@" descr="@01\QLançado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Lançado@" descr="@01\QLançado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Lançado@" descr="@01\QLançado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Lançado@" descr="@01\QLançado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Lançado@" descr="@01\QLançado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Lançado@" descr="@01\QLançado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Lançado@" descr="@01\QLançado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Lançado@" descr="@01\QLançado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Lançado@" descr="@01\QLançado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Lançado@" descr="@01\QLançado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Lançado@" descr="@01\QLançado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Lançado@" descr="@01\QLançado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Lançado@" descr="@01\QLançado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Lançado@" descr="@01\QLançado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Lançado@" descr="@01\QLançado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Lançado@" descr="@01\QLançado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Lançado@" descr="@01\QLançado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Lançado@" descr="@01\QLançado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Lançado@" descr="@01\QLançado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Lançado@" descr="@01\QLançado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Lançado@" descr="@01\QLançado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Lançado@" descr="@01\QLançado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Lançado@" descr="@01\QLançado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Lançado@" descr="@01\QLançado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Lançado@" descr="@01\QLançado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Lançado@" descr="@01\QLançado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Lançado@" descr="@01\QLançado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Lançado@" descr="@01\QLançado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Lançado@" descr="@01\QLançado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Lançado@" descr="@01\QLançado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Lançado@" descr="@01\QLançado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Lançado@" descr="@01\QLançado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Lançado@" descr="@01\QLançado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Lançado@" descr="@01\QLançado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Lançado@" descr="@01\QLançado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Lançado@" descr="@01\QLançado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Lançado@" descr="@01\QLançado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Lançado@" descr="@01\QLançado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Lançado@" descr="@01\QLançado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Lançado@" descr="@01\QLançado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Lançado@" descr="@01\QLançado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Lançado@" descr="@01\QLançado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Lançado@" descr="@01\QLançado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Lançado@" descr="@01\QLançado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Lançado@" descr="@01\QLançado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Lançado@" descr="@01\QLançado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Lançado@" descr="@01\QLançado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Lançado@" descr="@01\QLançado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Lançado@" descr="@01\QLançado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Lançado@" descr="@01\QLançado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Lançado@" descr="@01\QLançado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Lançado@" descr="@01\QLançado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Lançado@" descr="@01\QLançado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Lançado@" descr="@01\QLançado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Lançado@" descr="@01\QLançado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5" name="Picture@01\QLançado@" descr="@01\QLançado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896" name="Picture@01\QLançado@" descr="@01\QLançado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897" name="Picture@01\QLançado@" descr="@01\QLançado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898" name="Picture@01\QLançado@" descr="@01\QLançado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Lançado@" descr="@01\QLançado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0" name="Picture@01\QLançado@" descr="@01\QLançado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901" name="Picture@01\QLançado@" descr="@01\QLançado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902" name="Picture@01\QLançado@" descr="@01\QLançado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903" name="Picture@01\QLançado@" descr="@01\QLançado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904" name="Picture@01\QLançado@" descr="@01\QLançado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2306stp\AppData\Local\Temp\1\7b31c9ec-43ee-4ce6-b9dd-6e79f3cf5296_469741F190863F59BC43668B2DE6B8E5F0C456.ZIP.296\46974159BCSET2026.csv" TargetMode="External"/><Relationship Id="rId1" Type="http://schemas.openxmlformats.org/officeDocument/2006/relationships/externalLinkPath" Target="file:///C:\Users\t2306stp\AppData\Local\Temp\1\7b31c9ec-43ee-4ce6-b9dd-6e79f3cf5296_469741F190863F59BC43668B2DE6B8E5F0C456.ZIP.296\46974159BCSET202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974159BCSET2026"/>
    </sheetNames>
    <sheetDataSet>
      <sheetData sheetId="0">
        <row r="1">
          <cell r="W1">
            <v>13.1</v>
          </cell>
        </row>
        <row r="2">
          <cell r="F2" t="str">
            <v>Numero NF</v>
          </cell>
          <cell r="G2" t="str">
            <v>Numerp RPS</v>
          </cell>
          <cell r="H2" t="str">
            <v>CNPJ</v>
          </cell>
          <cell r="I2" t="str">
            <v>Tomador</v>
          </cell>
          <cell r="J2" t="str">
            <v>Tomador Endereco</v>
          </cell>
          <cell r="K2" t="str">
            <v>Tomador Nro Endereco</v>
          </cell>
          <cell r="L2" t="str">
            <v>Tomador Comp. Endereco</v>
          </cell>
          <cell r="M2" t="str">
            <v>Tomador Bairro</v>
          </cell>
          <cell r="N2" t="str">
            <v>Tomador Cidade</v>
          </cell>
          <cell r="O2" t="str">
            <v>Tomador UF</v>
          </cell>
          <cell r="P2" t="str">
            <v>Tomador Pais</v>
          </cell>
          <cell r="Q2" t="str">
            <v>Tomador CEP</v>
          </cell>
          <cell r="R2" t="str">
            <v>Código Servico</v>
          </cell>
          <cell r="S2" t="str">
            <v>Aliquota</v>
          </cell>
          <cell r="T2" t="str">
            <v>ISSQN Retido</v>
          </cell>
          <cell r="U2" t="str">
            <v>Discriminacao Serviço</v>
          </cell>
          <cell r="V2" t="str">
            <v>Valor Serviço</v>
          </cell>
          <cell r="W2" t="str">
            <v>Valor Previsto ISSQN</v>
          </cell>
          <cell r="X2" t="str">
            <v>IRRF</v>
          </cell>
          <cell r="Y2" t="str">
            <v>PIS</v>
          </cell>
          <cell r="Z2" t="str">
            <v>Cofins</v>
          </cell>
          <cell r="AA2" t="str">
            <v>CSSL</v>
          </cell>
          <cell r="AB2" t="str">
            <v>Total NF</v>
          </cell>
          <cell r="AC2" t="str">
            <v>Valor Fatura</v>
          </cell>
          <cell r="AD2" t="str">
            <v>Valor Não Incluso na B.C.</v>
          </cell>
          <cell r="AE2" t="str">
            <v>Nf Ativa</v>
          </cell>
        </row>
        <row r="3">
          <cell r="F3">
            <v>122181</v>
          </cell>
          <cell r="G3">
            <v>236650</v>
          </cell>
          <cell r="H3">
            <v>4067191000160</v>
          </cell>
          <cell r="I3" t="str">
            <v>EDITORA GLOBO S/A</v>
          </cell>
          <cell r="J3" t="str">
            <v>RUA MARQUES DE POMBAL</v>
          </cell>
          <cell r="K3">
            <v>25</v>
          </cell>
          <cell r="L3" t="str">
            <v>SAL 201</v>
          </cell>
          <cell r="M3" t="str">
            <v>CENTRO</v>
          </cell>
          <cell r="N3" t="str">
            <v>RIO DE JANEIRO</v>
          </cell>
          <cell r="O3" t="str">
            <v>RJ</v>
          </cell>
          <cell r="Q3">
            <v>20230240</v>
          </cell>
          <cell r="R3">
            <v>10301220</v>
          </cell>
          <cell r="S3">
            <v>2</v>
          </cell>
          <cell r="T3">
            <v>2</v>
          </cell>
          <cell r="U3" t="str">
            <v>Cartão Protegido:  Transações: 144444 - Tarifa: R$ 0,07760 - Total: R$112.088,54  (Período de apuração: 26/06/2026 à 25/07/2026) Pagador:  Transações: 138010 - Tarifa: R$ 0,09560 - Total: R$ 131.937,56  (Período de apuração: 26/06/2026 à 25/07/2026) Vencimento: 08/10/2026 Brazilian Tax Information: Valor estimado dos tributos IBS e CBS, conforme disposto no art. 12 da Lei Complementar nº 214/2025 (Reforma Tributária sobre Consumo): R$114.38 (1%)</v>
          </cell>
          <cell r="V3">
            <v>24900.62</v>
          </cell>
          <cell r="W3">
            <v>498.01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24900.62</v>
          </cell>
          <cell r="AC3">
            <v>0</v>
          </cell>
          <cell r="AD3">
            <v>0</v>
          </cell>
          <cell r="AE3" t="str">
            <v>Sim</v>
          </cell>
        </row>
        <row r="4">
          <cell r="F4">
            <v>122182</v>
          </cell>
          <cell r="G4">
            <v>236651</v>
          </cell>
          <cell r="H4">
            <v>57929012000112</v>
          </cell>
          <cell r="I4" t="str">
            <v>MAIS MOBI SERVICOS LTDA</v>
          </cell>
          <cell r="J4" t="str">
            <v>RUA DA ASSEMBLEIA</v>
          </cell>
          <cell r="K4">
            <v>10</v>
          </cell>
          <cell r="L4" t="str">
            <v>SAL 3911</v>
          </cell>
          <cell r="M4" t="str">
            <v>CENTRO</v>
          </cell>
          <cell r="N4" t="str">
            <v>RIO DE JANEIRO</v>
          </cell>
          <cell r="O4" t="str">
            <v>RJ</v>
          </cell>
          <cell r="Q4">
            <v>20011901</v>
          </cell>
          <cell r="R4">
            <v>10301220</v>
          </cell>
          <cell r="S4">
            <v>2</v>
          </cell>
          <cell r="T4">
            <v>2</v>
          </cell>
          <cell r="U4" t="str">
            <v>Pagador: Transações: 362064 - Tarifa: R$ 0,1440 - Total: R$ 52.137,22 (Período de apuração: 26/07/2026 à 25/08/2026) PO#4500060572 Vencimento: 15/10/2026 Brazilian Tax Information: Valor estimado dos tributos IBS e CBS, conforme disposto no art. 12 da Lei Complementar nº 214/2025 (Reforma Tributária sobre Consumo): R$532.01 (1%)</v>
          </cell>
          <cell r="V4">
            <v>53201.24</v>
          </cell>
          <cell r="W4">
            <v>1064.02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53201.24</v>
          </cell>
          <cell r="AC4">
            <v>0</v>
          </cell>
          <cell r="AD4">
            <v>0</v>
          </cell>
          <cell r="AE4" t="str">
            <v>Sim</v>
          </cell>
        </row>
        <row r="5">
          <cell r="F5">
            <v>122183</v>
          </cell>
          <cell r="G5">
            <v>236652</v>
          </cell>
          <cell r="H5">
            <v>57929012000112</v>
          </cell>
          <cell r="I5" t="str">
            <v>MAIS MOBI SERVICOS LTDA</v>
          </cell>
          <cell r="J5" t="str">
            <v>RUA DA ASSEMBLEIA</v>
          </cell>
          <cell r="K5">
            <v>10</v>
          </cell>
          <cell r="L5" t="str">
            <v>SAL 3911</v>
          </cell>
          <cell r="M5" t="str">
            <v>CENTRO</v>
          </cell>
          <cell r="N5" t="str">
            <v>RIO DE JANEIRO</v>
          </cell>
          <cell r="O5" t="str">
            <v>RJ</v>
          </cell>
          <cell r="Q5">
            <v>20011901</v>
          </cell>
          <cell r="R5">
            <v>10301220</v>
          </cell>
          <cell r="S5">
            <v>2</v>
          </cell>
          <cell r="T5">
            <v>2</v>
          </cell>
          <cell r="U5" t="str">
            <v>Cartão Protegido: Transações: 318782 - Tarifa: R$ 0,0810 - Total: R$ 25.821,34 (Período de apuração: 26/07/2026 à 25/08/2026) PO#4500060573 Vencimento: 15/10/2026 Brazilian Tax Information: Valor estimado dos tributos IBS e CBS, conforme disposto no art. 12 da Lei Complementar nº 214/2025 (Reforma Tributária sobre Consumo): R$263.48 (1%)</v>
          </cell>
          <cell r="V5">
            <v>26348.31</v>
          </cell>
          <cell r="W5">
            <v>526.97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26348.31</v>
          </cell>
          <cell r="AC5">
            <v>0</v>
          </cell>
          <cell r="AD5">
            <v>0</v>
          </cell>
          <cell r="AE5" t="str">
            <v>Sim</v>
          </cell>
        </row>
        <row r="6">
          <cell r="F6">
            <v>122184</v>
          </cell>
          <cell r="G6">
            <v>236653</v>
          </cell>
          <cell r="H6">
            <v>57929012000112</v>
          </cell>
          <cell r="I6" t="str">
            <v>MAIS MOBI SERVICOS LTDA</v>
          </cell>
          <cell r="J6" t="str">
            <v>RUA DA ASSEMBLEIA</v>
          </cell>
          <cell r="K6">
            <v>10</v>
          </cell>
          <cell r="L6" t="str">
            <v>SAL 3911</v>
          </cell>
          <cell r="M6" t="str">
            <v>CENTRO</v>
          </cell>
          <cell r="N6" t="str">
            <v>RIO DE JANEIRO</v>
          </cell>
          <cell r="O6" t="str">
            <v>RJ</v>
          </cell>
          <cell r="Q6">
            <v>20011901</v>
          </cell>
          <cell r="R6">
            <v>10301220</v>
          </cell>
          <cell r="S6">
            <v>2</v>
          </cell>
          <cell r="T6">
            <v>2</v>
          </cell>
          <cell r="U6" t="str">
            <v>Velocity Check: Transações: 372423 - Tarifa: R$ 0,0555 - Total: R$ 20.669,48 (Período de apuração: 26/07/2026 à 25/08/2026) PO#4500060574 Vencimento: 15/10/2026 Brazilian Tax Information: Valor estimado dos tributos IBS e CBS, conforme disposto no art. 12 da Lei Complementar nº 214/2025 (Reforma Tributária sobre Consumo): R$210.91 (1%)</v>
          </cell>
          <cell r="V6">
            <v>21091.31</v>
          </cell>
          <cell r="W6">
            <v>421.83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21091.31</v>
          </cell>
          <cell r="AC6">
            <v>0</v>
          </cell>
          <cell r="AD6">
            <v>0</v>
          </cell>
          <cell r="AE6" t="str">
            <v>Sim</v>
          </cell>
        </row>
        <row r="7">
          <cell r="F7">
            <v>122185</v>
          </cell>
          <cell r="G7">
            <v>236654</v>
          </cell>
          <cell r="H7">
            <v>57929012000112</v>
          </cell>
          <cell r="I7" t="str">
            <v>MAIS MOBI SERVICOS LTDA</v>
          </cell>
          <cell r="J7" t="str">
            <v>RUA DA ASSEMBLEIA</v>
          </cell>
          <cell r="K7">
            <v>10</v>
          </cell>
          <cell r="L7" t="str">
            <v>SAL 3911</v>
          </cell>
          <cell r="M7" t="str">
            <v>CENTRO</v>
          </cell>
          <cell r="N7" t="str">
            <v>RIO DE JANEIRO</v>
          </cell>
          <cell r="O7" t="str">
            <v>RJ</v>
          </cell>
          <cell r="Q7">
            <v>20011901</v>
          </cell>
          <cell r="R7">
            <v>10301220</v>
          </cell>
          <cell r="S7">
            <v>2</v>
          </cell>
          <cell r="T7">
            <v>2</v>
          </cell>
          <cell r="U7" t="str">
            <v>3DS: Transações: 5.901 - Tarifa 0,2006 - Total: R$1.183,74 (Período de apuração: 26/07/2026 à 25/08/2026) PO#4500060575 Vencimento: 15/10/2026 Brazilian Tax Information: Valor estimado dos tributos IBS e CBS, conforme disposto no art. 12 da Lei Complementar nº 214/2025 (Reforma Tributária sobre Consumo): R$12.08 (1%)</v>
          </cell>
          <cell r="V7">
            <v>1207.9000000000001</v>
          </cell>
          <cell r="W7">
            <v>24.16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1207.9000000000001</v>
          </cell>
          <cell r="AC7">
            <v>0</v>
          </cell>
          <cell r="AD7">
            <v>0</v>
          </cell>
          <cell r="AE7" t="str">
            <v>Sim</v>
          </cell>
        </row>
        <row r="8">
          <cell r="F8">
            <v>122186</v>
          </cell>
          <cell r="G8">
            <v>236655</v>
          </cell>
          <cell r="H8">
            <v>61110870000108</v>
          </cell>
          <cell r="I8" t="str">
            <v>INDUSTRIA E COMERCIO DE CALCADOS FASCAR LTDA</v>
          </cell>
          <cell r="J8" t="str">
            <v>RUA FREI CANECA</v>
          </cell>
          <cell r="K8">
            <v>553</v>
          </cell>
          <cell r="M8" t="str">
            <v>BELA VISTA</v>
          </cell>
          <cell r="N8" t="str">
            <v>SAO PAULO</v>
          </cell>
          <cell r="O8" t="str">
            <v>SP</v>
          </cell>
          <cell r="Q8">
            <v>1307001</v>
          </cell>
          <cell r="R8">
            <v>170102220</v>
          </cell>
          <cell r="S8">
            <v>2</v>
          </cell>
          <cell r="T8">
            <v>2</v>
          </cell>
          <cell r="U8" t="str">
            <v>Antifraude: Transações: 236 -Total: R$ 670,00 (Cobrança pelo minimo mensal) (Período de apuração: 01/08/2026 à 31/08/2026) Vencimento: 11/10/2026 Brazilian Tax Information: Valor estimado dos tributos IBS e CBS, conforme disposto no art. 12 da Lei Complementar nº 214/2025 (Reforma Tributária sobre Consumo): R$6.84 (1%)</v>
          </cell>
          <cell r="V8">
            <v>683.67</v>
          </cell>
          <cell r="W8">
            <v>13.67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683.67</v>
          </cell>
          <cell r="AC8">
            <v>0</v>
          </cell>
          <cell r="AD8">
            <v>0</v>
          </cell>
          <cell r="AE8" t="str">
            <v>Sim</v>
          </cell>
        </row>
        <row r="9">
          <cell r="F9">
            <v>122188</v>
          </cell>
          <cell r="G9">
            <v>236656</v>
          </cell>
          <cell r="H9">
            <v>1127671000342</v>
          </cell>
          <cell r="I9" t="str">
            <v>DINHO- WOSNIACK DISTRIBUICAO DE BEBLTDA</v>
          </cell>
          <cell r="J9" t="str">
            <v>VEREADOR ANGELO BURBELLO</v>
          </cell>
          <cell r="K9">
            <v>740</v>
          </cell>
          <cell r="M9" t="str">
            <v>CAMPO DE SANTANA</v>
          </cell>
          <cell r="N9" t="str">
            <v>CURITIBA</v>
          </cell>
          <cell r="O9" t="str">
            <v>PR</v>
          </cell>
          <cell r="Q9">
            <v>81945010</v>
          </cell>
          <cell r="R9">
            <v>170102220</v>
          </cell>
          <cell r="S9">
            <v>2</v>
          </cell>
          <cell r="T9">
            <v>2</v>
          </cell>
          <cell r="U9" t="str">
            <v>Antifraude: Transações: 17 -Total: R$ 301,00 (Cobrança pelo minimo mensal) (Período de apuração: 01/08/2026 à 31/08/2026) Vencimento: 19/09/2026 Brazilian Tax Information: Valor estimado dos tributos IBS e CBS, conforme disposto no art. 12 da Lei Complementar nº 214/2025 (Reforma Tributária sobre Consumo): R$3.08 (1%)</v>
          </cell>
          <cell r="V9">
            <v>308.16000000000003</v>
          </cell>
          <cell r="W9">
            <v>6.16</v>
          </cell>
          <cell r="X9">
            <v>0</v>
          </cell>
          <cell r="Y9">
            <v>2</v>
          </cell>
          <cell r="Z9">
            <v>9.24</v>
          </cell>
          <cell r="AA9">
            <v>3.08</v>
          </cell>
          <cell r="AB9">
            <v>308.16000000000003</v>
          </cell>
          <cell r="AC9">
            <v>0</v>
          </cell>
          <cell r="AD9">
            <v>0</v>
          </cell>
          <cell r="AE9" t="str">
            <v>Sim</v>
          </cell>
        </row>
        <row r="10">
          <cell r="F10">
            <v>122189</v>
          </cell>
          <cell r="G10">
            <v>236659</v>
          </cell>
          <cell r="H10">
            <v>11606543000254</v>
          </cell>
          <cell r="I10" t="str">
            <v>FORTALEZA DE SANTA TERESINHA AGRICU E PECUARIA S.A.</v>
          </cell>
          <cell r="J10" t="str">
            <v>RAJA GABAGLIA</v>
          </cell>
          <cell r="K10">
            <v>0</v>
          </cell>
          <cell r="M10" t="str">
            <v>LUXEMBURGO</v>
          </cell>
          <cell r="N10" t="str">
            <v>BELO HORIZONTE</v>
          </cell>
          <cell r="O10" t="str">
            <v>MG</v>
          </cell>
          <cell r="Q10">
            <v>30380435</v>
          </cell>
          <cell r="R10">
            <v>170102220</v>
          </cell>
          <cell r="S10">
            <v>2</v>
          </cell>
          <cell r="T10">
            <v>2</v>
          </cell>
          <cell r="U10" t="str">
            <v>AntiFraude:  Transações: 1.493 - Tarifa - 0,9343 - Total: R$ 1.394,91 (Período de apuração: 01/08/2026 à 31/08/2026) Vencimento: 26/09/2026 Brazilian Tax Information: Valor estimado dos tributos IBS e CBS, conforme disposto no art. 12 da Lei Complementar nº 214/2025 (Reforma Tributária sobre Consumo): R$14.23 (1%)</v>
          </cell>
          <cell r="V10">
            <v>1423.38</v>
          </cell>
          <cell r="W10">
            <v>28.47</v>
          </cell>
          <cell r="X10">
            <v>21.35</v>
          </cell>
          <cell r="Y10">
            <v>9.25</v>
          </cell>
          <cell r="Z10">
            <v>42.7</v>
          </cell>
          <cell r="AA10">
            <v>14.23</v>
          </cell>
          <cell r="AB10">
            <v>1423.38</v>
          </cell>
          <cell r="AC10">
            <v>0</v>
          </cell>
          <cell r="AD10">
            <v>0</v>
          </cell>
          <cell r="AE10" t="str">
            <v>Sim</v>
          </cell>
        </row>
        <row r="11">
          <cell r="F11">
            <v>122190</v>
          </cell>
          <cell r="G11">
            <v>236670</v>
          </cell>
          <cell r="H11">
            <v>4740876000125</v>
          </cell>
          <cell r="I11" t="str">
            <v>ALELO INSTITUICAO DE PAGAMENTO SA</v>
          </cell>
          <cell r="J11" t="str">
            <v>ALAMEDA XINGU</v>
          </cell>
          <cell r="K11">
            <v>512</v>
          </cell>
          <cell r="L11" t="str">
            <v>ANDAR 3 E 4 E 16 PAR</v>
          </cell>
          <cell r="M11" t="str">
            <v>ALPHAVILLE CENTRO INDUSTRIAL E EMPRESARI</v>
          </cell>
          <cell r="N11" t="str">
            <v>BARUERI</v>
          </cell>
          <cell r="O11" t="str">
            <v>SP</v>
          </cell>
          <cell r="Q11">
            <v>6455030</v>
          </cell>
          <cell r="R11">
            <v>170102220</v>
          </cell>
          <cell r="S11">
            <v>2</v>
          </cell>
          <cell r="T11">
            <v>2</v>
          </cell>
          <cell r="U11" t="str">
            <v>Analista de Risco: R$ 22.801,32 Antifraude: 6681 - Tarifa:  0,6062 - Total: R$ 4.050,02 PO#4600116556 (Período de apuração: 01/08/2026 à 31/08/2026) Vencimento: 11/10/2026 Brazilian Tax Information: Valor estimado dos tributos IBS e CBS, conforme disposto no art. 12 da Lei Complementar nº 214/2025 (Reforma Tributária sobre Consumo): R$232.67 (1%)</v>
          </cell>
          <cell r="V11">
            <v>27399.32</v>
          </cell>
          <cell r="W11">
            <v>547.99</v>
          </cell>
          <cell r="X11">
            <v>410.99</v>
          </cell>
          <cell r="Y11">
            <v>178.09</v>
          </cell>
          <cell r="Z11">
            <v>821.98</v>
          </cell>
          <cell r="AA11">
            <v>274</v>
          </cell>
          <cell r="AB11">
            <v>27399.32</v>
          </cell>
          <cell r="AC11">
            <v>0</v>
          </cell>
          <cell r="AD11">
            <v>0</v>
          </cell>
          <cell r="AE11" t="str">
            <v>Sim</v>
          </cell>
        </row>
        <row r="12">
          <cell r="F12">
            <v>122191</v>
          </cell>
          <cell r="G12">
            <v>236679</v>
          </cell>
          <cell r="H12">
            <v>58473398000163</v>
          </cell>
          <cell r="I12" t="str">
            <v>AMWAY DO BRASIL LIMITADA</v>
          </cell>
          <cell r="J12" t="str">
            <v>RUA GOMES DE CARVALHO</v>
          </cell>
          <cell r="K12">
            <v>911</v>
          </cell>
          <cell r="L12" t="str">
            <v>SALA 101 E 102</v>
          </cell>
          <cell r="M12" t="str">
            <v>VILA OLIMPIA</v>
          </cell>
          <cell r="N12" t="str">
            <v>SAO PAULO</v>
          </cell>
          <cell r="O12" t="str">
            <v>SP</v>
          </cell>
          <cell r="Q12">
            <v>4547003</v>
          </cell>
          <cell r="R12">
            <v>170102220</v>
          </cell>
          <cell r="S12">
            <v>2</v>
          </cell>
          <cell r="T12">
            <v>2</v>
          </cell>
          <cell r="U12" t="str">
            <v>Analista de Risco: R$ 20.344,56 Emailage: 1096 - Tarifa:  0,5309 - Total: R$ 581,87 Antifraude: 1096 - Total: R$ 3.390,95 (Cobrança pelo mínimo mensal) (Período de apuração: 01/08/2026 à 31/08/2026) Vencimento: 11/10/2026 Brazilian Tax Information: Valor estimado dos tributos IBS e CBS, conforme disposto no art. 12 da Lei Complementar nº 214/2025 (Reforma Tributária sobre Consumo): R$207.60 (1%)</v>
          </cell>
          <cell r="V12">
            <v>24813.65</v>
          </cell>
          <cell r="W12">
            <v>496.27</v>
          </cell>
          <cell r="X12">
            <v>372.21</v>
          </cell>
          <cell r="Y12">
            <v>161.29</v>
          </cell>
          <cell r="Z12">
            <v>744.4</v>
          </cell>
          <cell r="AA12">
            <v>248.14</v>
          </cell>
          <cell r="AB12">
            <v>24813.65</v>
          </cell>
          <cell r="AC12">
            <v>0</v>
          </cell>
          <cell r="AD12">
            <v>0</v>
          </cell>
          <cell r="AE12" t="str">
            <v>Sim</v>
          </cell>
        </row>
        <row r="13">
          <cell r="F13">
            <v>122192</v>
          </cell>
          <cell r="G13">
            <v>236667</v>
          </cell>
          <cell r="H13">
            <v>7015691000146</v>
          </cell>
          <cell r="I13" t="str">
            <v>4 BIO MEDICAMENTOS S.A.</v>
          </cell>
          <cell r="J13" t="str">
            <v>RUA PEDROSO ALVARENGA</v>
          </cell>
          <cell r="K13">
            <v>58</v>
          </cell>
          <cell r="L13" t="str">
            <v>CONJ 2 FUN DOS11-12-</v>
          </cell>
          <cell r="M13" t="str">
            <v>ITAIM BIBI</v>
          </cell>
          <cell r="N13" t="str">
            <v>SAO PAULO</v>
          </cell>
          <cell r="O13" t="str">
            <v>SP</v>
          </cell>
          <cell r="Q13">
            <v>4531000</v>
          </cell>
          <cell r="R13">
            <v>170102220</v>
          </cell>
          <cell r="S13">
            <v>2</v>
          </cell>
          <cell r="T13">
            <v>2</v>
          </cell>
          <cell r="U13" t="str">
            <v>Analista de Risco: R$ 5.810,98 Antifraude: 326 - Total: R$ 868,74 (Cobrança pelo mínimo mensal) Análise Manual Expressa: 15 - Tarifa: 13,7100 - Total: R$ 205,65 (Período de apuração: 01/08/2026 à 31/08/2026) Vencimento: 02/10/2026 Brazilian Tax Information: Valor estimado dos tributos IBS e CBS, conforme disposto no art. 12 da Lei Complementar nº 214/2025 (Reforma Tributária sobre Consumo): R$59.30 (1%)</v>
          </cell>
          <cell r="V13">
            <v>7025.89</v>
          </cell>
          <cell r="W13">
            <v>140.52000000000001</v>
          </cell>
          <cell r="X13">
            <v>105.39</v>
          </cell>
          <cell r="Y13">
            <v>45.66</v>
          </cell>
          <cell r="Z13">
            <v>210.78</v>
          </cell>
          <cell r="AA13">
            <v>70.260000000000005</v>
          </cell>
          <cell r="AB13">
            <v>7025.89</v>
          </cell>
          <cell r="AC13">
            <v>0</v>
          </cell>
          <cell r="AD13">
            <v>0</v>
          </cell>
          <cell r="AE13" t="str">
            <v>Sim</v>
          </cell>
        </row>
        <row r="14">
          <cell r="F14">
            <v>122193</v>
          </cell>
          <cell r="G14">
            <v>236671</v>
          </cell>
          <cell r="H14">
            <v>9127271000187</v>
          </cell>
          <cell r="I14" t="str">
            <v>EHTL VIAGENS LTDA</v>
          </cell>
          <cell r="J14" t="str">
            <v>AVENIDA IPIRANGA</v>
          </cell>
          <cell r="K14">
            <v>104</v>
          </cell>
          <cell r="L14" t="str">
            <v>ANDAR 4 CO NJ 41 A 4</v>
          </cell>
          <cell r="M14" t="str">
            <v>REPUBLICA</v>
          </cell>
          <cell r="N14" t="str">
            <v>SAO PAULO</v>
          </cell>
          <cell r="O14" t="str">
            <v>SP</v>
          </cell>
          <cell r="Q14">
            <v>1046010</v>
          </cell>
          <cell r="R14">
            <v>170102220</v>
          </cell>
          <cell r="S14">
            <v>2</v>
          </cell>
          <cell r="T14">
            <v>2</v>
          </cell>
          <cell r="U14" t="str">
            <v>Analista de Risco: R$ 5.688,83 Antifraude: 993 - Total: R$ 768,81 (Cobrança pelo mínimo mensal) (Período de apuração: 01/08/2026 à 31/08/2026) Vencimento: 26/09/2026 Brazilian Tax Information: Valor estimado dos tributos IBS e CBS, conforme disposto no art. 12 da Lei Complementar nº 214/2025 (Reforma Tributária sobre Consumo): R$58.05 (1%)</v>
          </cell>
          <cell r="V14">
            <v>6589.43</v>
          </cell>
          <cell r="W14">
            <v>131.79</v>
          </cell>
          <cell r="X14">
            <v>98.84</v>
          </cell>
          <cell r="Y14">
            <v>42.83</v>
          </cell>
          <cell r="Z14">
            <v>197.69</v>
          </cell>
          <cell r="AA14">
            <v>65.900000000000006</v>
          </cell>
          <cell r="AB14">
            <v>6589.43</v>
          </cell>
          <cell r="AC14">
            <v>0</v>
          </cell>
          <cell r="AD14">
            <v>0</v>
          </cell>
          <cell r="AE14" t="str">
            <v>Sim</v>
          </cell>
        </row>
        <row r="15">
          <cell r="F15">
            <v>122194</v>
          </cell>
          <cell r="G15">
            <v>236672</v>
          </cell>
          <cell r="H15">
            <v>94929734000101</v>
          </cell>
          <cell r="I15" t="str">
            <v>GIORDANI TURISMO LTDA</v>
          </cell>
          <cell r="J15" t="str">
            <v>RUA TREZE DE MAIO</v>
          </cell>
          <cell r="K15">
            <v>581</v>
          </cell>
          <cell r="L15" t="str">
            <v>LOJA 109</v>
          </cell>
          <cell r="M15" t="str">
            <v>SAO BENTO</v>
          </cell>
          <cell r="N15" t="str">
            <v>BENTO GONCALVES</v>
          </cell>
          <cell r="O15" t="str">
            <v>RS</v>
          </cell>
          <cell r="Q15">
            <v>95703154</v>
          </cell>
          <cell r="R15">
            <v>170102220</v>
          </cell>
          <cell r="S15">
            <v>2</v>
          </cell>
          <cell r="T15">
            <v>2</v>
          </cell>
          <cell r="U15" t="str">
            <v>Analista de Risco: R$ 4.064,01 Emailage: 112 - Tarifa:  0,5643 - Total: R$ 63,20 Antifraude: 735 - Total: R$ 888,25 (Cobrança pelo mínimo mensal) Serviço de Validação de Dados: 87 - Tarifa:  0,5643 - Total: R$ 49,09 (Período de apuração: 01/08/2026 à 31/08/2026) Vencimento: 26/09/2026 Brazilian Tax Information: Valor estimado dos tributos IBS e CBS, conforme disposto no art. 12 da Lei Complementar nº 214/2025 (Reforma Tributária sobre Consumo): R$41.47 (1%)</v>
          </cell>
          <cell r="V15">
            <v>5167.91</v>
          </cell>
          <cell r="W15">
            <v>103.36</v>
          </cell>
          <cell r="X15">
            <v>77.52</v>
          </cell>
          <cell r="Y15">
            <v>33.6</v>
          </cell>
          <cell r="Z15">
            <v>155.03</v>
          </cell>
          <cell r="AA15">
            <v>51.67</v>
          </cell>
          <cell r="AB15">
            <v>5167.91</v>
          </cell>
          <cell r="AC15">
            <v>0</v>
          </cell>
          <cell r="AD15">
            <v>0</v>
          </cell>
          <cell r="AE15" t="str">
            <v>Sim</v>
          </cell>
        </row>
        <row r="16">
          <cell r="F16">
            <v>122195</v>
          </cell>
          <cell r="G16">
            <v>236661</v>
          </cell>
          <cell r="H16">
            <v>30685695000153</v>
          </cell>
          <cell r="I16" t="str">
            <v>CENTERSPORT ARTIGOS ESPORTIVOS LTDA</v>
          </cell>
          <cell r="J16" t="str">
            <v>AVENIDA DIB JORGE</v>
          </cell>
          <cell r="K16">
            <v>650</v>
          </cell>
          <cell r="L16" t="str">
            <v>LOTE 10 E 11</v>
          </cell>
          <cell r="M16" t="str">
            <v>PARQUE INDUSTRIAL EMPRESARIO WILLIAM DIB</v>
          </cell>
          <cell r="N16" t="str">
            <v>PENAPOLIS</v>
          </cell>
          <cell r="O16" t="str">
            <v>SP</v>
          </cell>
          <cell r="Q16">
            <v>16306500</v>
          </cell>
          <cell r="R16">
            <v>170102220</v>
          </cell>
          <cell r="S16">
            <v>2</v>
          </cell>
          <cell r="T16">
            <v>2</v>
          </cell>
          <cell r="U16" t="str">
            <v>Analista de Risco: R$ 4.107,19 Antifraude: 2 - Total: R$ 718,76 (Cobrança pelo mínimo mensal) (Período de apuração: 01/08/2026 à 31/08/2026) Vencimento: 26/09/2026 Brazilian Tax Information: Valor estimado dos tributos IBS e CBS, conforme disposto no art. 12 da Lei Complementar nº 214/2025 (Reforma Tributária sobre Consumo): R$41.91 (1%)</v>
          </cell>
          <cell r="V16">
            <v>4924.4399999999996</v>
          </cell>
          <cell r="W16">
            <v>98.49</v>
          </cell>
          <cell r="X16">
            <v>73.87</v>
          </cell>
          <cell r="Y16">
            <v>32.01</v>
          </cell>
          <cell r="Z16">
            <v>147.72999999999999</v>
          </cell>
          <cell r="AA16">
            <v>49.24</v>
          </cell>
          <cell r="AB16">
            <v>4924.4399999999996</v>
          </cell>
          <cell r="AC16">
            <v>0</v>
          </cell>
          <cell r="AD16">
            <v>0</v>
          </cell>
          <cell r="AE16" t="str">
            <v>Sim</v>
          </cell>
        </row>
        <row r="17">
          <cell r="F17">
            <v>122196</v>
          </cell>
          <cell r="G17">
            <v>236675</v>
          </cell>
          <cell r="H17">
            <v>565813000129</v>
          </cell>
          <cell r="I17" t="str">
            <v>ANHANGUERA COMERCIO DE FERRAMENTASLTDA</v>
          </cell>
          <cell r="J17" t="str">
            <v>RUA RONALD CLADSTONE NEGRI</v>
          </cell>
          <cell r="K17">
            <v>375</v>
          </cell>
          <cell r="M17" t="str">
            <v>POLO I ALTA TECNOLOGIA DE CAMPINAS</v>
          </cell>
          <cell r="N17" t="str">
            <v>CAMPINAS</v>
          </cell>
          <cell r="O17" t="str">
            <v>SP</v>
          </cell>
          <cell r="Q17">
            <v>13069472</v>
          </cell>
          <cell r="R17">
            <v>170102220</v>
          </cell>
          <cell r="S17">
            <v>2</v>
          </cell>
          <cell r="T17">
            <v>2</v>
          </cell>
          <cell r="U17" t="str">
            <v>Analista de Risco: R$ 0,01 Emailage: 357 - Tarifa:  0,5100 - Total: R$ 182,07 Antifraude: 1092 - Tarifa:  4,3300 - Total: R$ 4.728,36 Serviço de Validação de Dados: 355 - Tarifa:  0,4900 - Total: R$ 173,95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17">
            <v>5188.16</v>
          </cell>
          <cell r="W17">
            <v>103.76</v>
          </cell>
          <cell r="X17">
            <v>77.819999999999993</v>
          </cell>
          <cell r="Y17">
            <v>33.72</v>
          </cell>
          <cell r="Z17">
            <v>155.65</v>
          </cell>
          <cell r="AA17">
            <v>51.89</v>
          </cell>
          <cell r="AB17">
            <v>5188.16</v>
          </cell>
          <cell r="AC17">
            <v>0</v>
          </cell>
          <cell r="AD17">
            <v>0</v>
          </cell>
          <cell r="AE17" t="str">
            <v>Sim</v>
          </cell>
        </row>
        <row r="18">
          <cell r="F18">
            <v>122197</v>
          </cell>
          <cell r="G18">
            <v>236696</v>
          </cell>
          <cell r="H18">
            <v>16825089000165</v>
          </cell>
          <cell r="I18" t="str">
            <v>B2 PNEUS LTDA</v>
          </cell>
          <cell r="J18" t="str">
            <v>CYRO CORREIA PEREIRA</v>
          </cell>
          <cell r="K18">
            <v>0</v>
          </cell>
          <cell r="M18" t="str">
            <v>CIDADE INDUSTRIAL</v>
          </cell>
          <cell r="N18" t="str">
            <v>CURITIBA</v>
          </cell>
          <cell r="O18" t="str">
            <v>PR</v>
          </cell>
          <cell r="Q18">
            <v>81170230</v>
          </cell>
          <cell r="R18">
            <v>170102220</v>
          </cell>
          <cell r="S18">
            <v>2</v>
          </cell>
          <cell r="T18">
            <v>2</v>
          </cell>
          <cell r="U18" t="str">
            <v>Analista de Risco: R$ 4.365,60 Antifraude: 231 - Total: R$ 504,90 (Cobrança pelo mínimo mensal) (Período de apuração: 01/08/2026 à 31/08/2026) Vencimento: 19/09/2026 Brazilian Tax Information: Valor estimado dos tributos IBS e CBS, conforme disposto no art. 12 da Lei Complementar nº 214/2025 (Reforma Tributária sobre Consumo): R$44.55 (1%)</v>
          </cell>
          <cell r="V18">
            <v>4969.8900000000003</v>
          </cell>
          <cell r="W18">
            <v>99.4</v>
          </cell>
          <cell r="X18">
            <v>74.55</v>
          </cell>
          <cell r="Y18">
            <v>32.31</v>
          </cell>
          <cell r="Z18">
            <v>149.1</v>
          </cell>
          <cell r="AA18">
            <v>49.7</v>
          </cell>
          <cell r="AB18">
            <v>4969.8900000000003</v>
          </cell>
          <cell r="AC18">
            <v>0</v>
          </cell>
          <cell r="AD18">
            <v>0</v>
          </cell>
          <cell r="AE18" t="str">
            <v>Sim</v>
          </cell>
        </row>
        <row r="19">
          <cell r="F19">
            <v>122198</v>
          </cell>
          <cell r="G19">
            <v>236698</v>
          </cell>
          <cell r="H19">
            <v>10383997000160</v>
          </cell>
          <cell r="I19" t="str">
            <v>ENGEMETAL COMERCIO E MANUTENCAO LTDA</v>
          </cell>
          <cell r="J19" t="str">
            <v>AVENIDA VITORINO ARIGONE</v>
          </cell>
          <cell r="K19">
            <v>450</v>
          </cell>
          <cell r="L19" t="str">
            <v>GALPAOK ED IF 01</v>
          </cell>
          <cell r="M19" t="str">
            <v>JARDIM SANTA BARBARA</v>
          </cell>
          <cell r="N19" t="str">
            <v>LIMEIRA</v>
          </cell>
          <cell r="O19" t="str">
            <v>SP</v>
          </cell>
          <cell r="Q19">
            <v>13480309</v>
          </cell>
          <cell r="R19">
            <v>170102220</v>
          </cell>
          <cell r="S19">
            <v>2</v>
          </cell>
          <cell r="T19">
            <v>2</v>
          </cell>
          <cell r="U19" t="str">
            <v>Analista de Risco: R$ 3.901,84 Antifraude: 72 -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R$39.81 (1%)</v>
          </cell>
          <cell r="V19">
            <v>4188.93</v>
          </cell>
          <cell r="W19">
            <v>83.78</v>
          </cell>
          <cell r="X19">
            <v>62.83</v>
          </cell>
          <cell r="Y19">
            <v>27.23</v>
          </cell>
          <cell r="Z19">
            <v>125.66</v>
          </cell>
          <cell r="AA19">
            <v>41.88</v>
          </cell>
          <cell r="AB19">
            <v>4188.93</v>
          </cell>
          <cell r="AC19">
            <v>0</v>
          </cell>
          <cell r="AD19">
            <v>0</v>
          </cell>
          <cell r="AE19" t="str">
            <v>Sim</v>
          </cell>
        </row>
        <row r="20">
          <cell r="F20">
            <v>122199</v>
          </cell>
          <cell r="G20">
            <v>236691</v>
          </cell>
          <cell r="H20">
            <v>1336140000106</v>
          </cell>
          <cell r="I20" t="str">
            <v>BRAVIUM S.A</v>
          </cell>
          <cell r="J20" t="str">
            <v>RUA LUIGI GALVANI</v>
          </cell>
          <cell r="K20">
            <v>42</v>
          </cell>
          <cell r="L20" t="str">
            <v>ANDAR 10 E 11</v>
          </cell>
          <cell r="M20" t="str">
            <v>CIDADE MONCOES</v>
          </cell>
          <cell r="N20" t="str">
            <v>SAO PAULO</v>
          </cell>
          <cell r="O20" t="str">
            <v>SP</v>
          </cell>
          <cell r="Q20">
            <v>4575020</v>
          </cell>
          <cell r="R20">
            <v>170102220</v>
          </cell>
          <cell r="S20">
            <v>2</v>
          </cell>
          <cell r="T20">
            <v>2</v>
          </cell>
          <cell r="U20" t="str">
            <v>Analista de Risco: R$ 0,01 Antifraude: 5081 - Total: R$ 7.797,05 (Cobrança pelo mínimo mensal) Pacote Gestão de risco (Período de apuração: 01/08/2026 à 31/08/2026) Vencimento: 02/10/2026 Brazilian Tax Information: Valor estimado dos tributos IBS e CBS, conforme disposto no art. 12 da Lei Complementar nº 214/2025 (Reforma Tributária sobre Consumo): R$0.00 (1%)</v>
          </cell>
          <cell r="V20">
            <v>7956.19</v>
          </cell>
          <cell r="W20">
            <v>159.12</v>
          </cell>
          <cell r="X20">
            <v>119.34</v>
          </cell>
          <cell r="Y20">
            <v>51.72</v>
          </cell>
          <cell r="Z20">
            <v>238.69</v>
          </cell>
          <cell r="AA20">
            <v>79.56</v>
          </cell>
          <cell r="AB20">
            <v>7956.19</v>
          </cell>
          <cell r="AC20">
            <v>0</v>
          </cell>
          <cell r="AD20">
            <v>0</v>
          </cell>
          <cell r="AE20" t="str">
            <v>Sim</v>
          </cell>
        </row>
        <row r="21">
          <cell r="F21">
            <v>122200</v>
          </cell>
          <cell r="G21">
            <v>236689</v>
          </cell>
          <cell r="H21">
            <v>13877842000178</v>
          </cell>
          <cell r="I21" t="str">
            <v>ESTRATEGIA CONCURSOS S/A</v>
          </cell>
          <cell r="J21" t="str">
            <v>OLIMPIADAS</v>
          </cell>
          <cell r="K21">
            <v>1</v>
          </cell>
          <cell r="M21" t="str">
            <v>VILA OLIMPIA</v>
          </cell>
          <cell r="N21" t="str">
            <v>SAO PAULO</v>
          </cell>
          <cell r="O21" t="str">
            <v>SP</v>
          </cell>
          <cell r="Q21">
            <v>4551000</v>
          </cell>
          <cell r="R21">
            <v>170102220</v>
          </cell>
          <cell r="S21">
            <v>2</v>
          </cell>
          <cell r="T21">
            <v>2</v>
          </cell>
          <cell r="U21" t="str">
            <v>Analista de Risco: R$ 9.222,02 Antifraude: 78 - Total: R$ 11.099,71 (Cobrança pelo mínimo mensal) (Período de apuração: 01/08/2026 à 31/08/2026) Vencimento: 19/09/2026 Brazilian Tax Information: Valor estimado dos tributos IBS e CBS, conforme disposto no art. 12 da Lei Complementar nº 214/2025 (Reforma Tributária sobre Consumo): R$94.10 (1%)</v>
          </cell>
          <cell r="V21">
            <v>20736.45</v>
          </cell>
          <cell r="W21">
            <v>414.73</v>
          </cell>
          <cell r="X21">
            <v>311.04000000000002</v>
          </cell>
          <cell r="Y21">
            <v>134.79</v>
          </cell>
          <cell r="Z21">
            <v>622.1</v>
          </cell>
          <cell r="AA21">
            <v>207.36</v>
          </cell>
          <cell r="AB21">
            <v>20736.45</v>
          </cell>
          <cell r="AC21">
            <v>0</v>
          </cell>
          <cell r="AD21">
            <v>0</v>
          </cell>
          <cell r="AE21" t="str">
            <v>Sim</v>
          </cell>
        </row>
        <row r="22">
          <cell r="F22">
            <v>122201</v>
          </cell>
          <cell r="G22">
            <v>236688</v>
          </cell>
          <cell r="H22">
            <v>61233151000508</v>
          </cell>
          <cell r="I22" t="str">
            <v>COVABRA SUPERMERCADOS LTDA</v>
          </cell>
          <cell r="J22" t="str">
            <v>ESTRADA MUNICIPAL MINEKO ITO</v>
          </cell>
          <cell r="K22">
            <v>3300</v>
          </cell>
          <cell r="M22" t="str">
            <v>JARDIM DOM BOSCO I</v>
          </cell>
          <cell r="N22" t="str">
            <v>SUMARE</v>
          </cell>
          <cell r="O22" t="str">
            <v>SP</v>
          </cell>
          <cell r="Q22">
            <v>13175690</v>
          </cell>
          <cell r="R22">
            <v>170102220</v>
          </cell>
          <cell r="S22">
            <v>2</v>
          </cell>
          <cell r="T22">
            <v>2</v>
          </cell>
          <cell r="U22" t="str">
            <v>Analista de Risco: R$ 5.473,00 Credilink: 6 - Tarifa:  0,5434 - Total: R$ 3,26 Emailage: 3133 - Tarifa:  0,5434 - Total: R$ 1.702,47 Antifraude: 3170 - Tarifa:  0,9800 - Total: R$ 3.106,60 (Período de apuração: 01/08/2026 à 31/08/2026) Vencimento: 30/10/2026 Brazilian Tax Information: Valor estimado dos tributos IBS e CBS, conforme disposto no art. 12 da Lei Complementar nº 214/2025 (Reforma Tributária sobre Consumo): R$55.85 (1%)</v>
          </cell>
          <cell r="V22">
            <v>10495.23</v>
          </cell>
          <cell r="W22">
            <v>209.9</v>
          </cell>
          <cell r="X22">
            <v>157.43</v>
          </cell>
          <cell r="Y22">
            <v>68.22</v>
          </cell>
          <cell r="Z22">
            <v>314.86</v>
          </cell>
          <cell r="AA22">
            <v>104.95</v>
          </cell>
          <cell r="AB22">
            <v>10495.23</v>
          </cell>
          <cell r="AC22">
            <v>0</v>
          </cell>
          <cell r="AD22">
            <v>0</v>
          </cell>
          <cell r="AE22" t="str">
            <v>Sim</v>
          </cell>
        </row>
        <row r="23">
          <cell r="F23">
            <v>122202</v>
          </cell>
          <cell r="G23">
            <v>236686</v>
          </cell>
          <cell r="H23">
            <v>60657574000169</v>
          </cell>
          <cell r="I23" t="str">
            <v>EDITORA DO BRASIL SA</v>
          </cell>
          <cell r="J23" t="str">
            <v>AVENIDA DAS NACOES UNIDAS</v>
          </cell>
          <cell r="K23">
            <v>12901</v>
          </cell>
          <cell r="L23" t="str">
            <v>SALA 2001 E 2002 AND</v>
          </cell>
          <cell r="M23" t="str">
            <v>BROOKLIN PAULISTA</v>
          </cell>
          <cell r="N23" t="str">
            <v>SAO PAULO</v>
          </cell>
          <cell r="O23" t="str">
            <v>SP</v>
          </cell>
          <cell r="Q23">
            <v>4578910</v>
          </cell>
          <cell r="R23">
            <v>170102220</v>
          </cell>
          <cell r="S23">
            <v>2</v>
          </cell>
          <cell r="T23">
            <v>2</v>
          </cell>
          <cell r="U23" t="str">
            <v>Analista de Risco: R$ 4.604,28 Antifraude: 260 - Total: R$ 518,10 (Cobrança pelo mínimo mensal) (Período de apuração: 01/08/2026 à 31/08/2026) Vencimento: 28/10/2026 Brazilian Tax Information: Valor estimado dos tributos IBS e CBS, conforme disposto no art. 12 da Lei Complementar nº 214/2025 (Reforma Tributária sobre Consumo): R$46.98 (1%)</v>
          </cell>
          <cell r="V23">
            <v>5226.92</v>
          </cell>
          <cell r="W23">
            <v>104.54</v>
          </cell>
          <cell r="X23">
            <v>78.400000000000006</v>
          </cell>
          <cell r="Y23">
            <v>33.979999999999997</v>
          </cell>
          <cell r="Z23">
            <v>156.81</v>
          </cell>
          <cell r="AA23">
            <v>52.27</v>
          </cell>
          <cell r="AB23">
            <v>5226.92</v>
          </cell>
          <cell r="AC23">
            <v>0</v>
          </cell>
          <cell r="AD23">
            <v>0</v>
          </cell>
          <cell r="AE23" t="str">
            <v>Sim</v>
          </cell>
        </row>
        <row r="24">
          <cell r="F24">
            <v>122203</v>
          </cell>
          <cell r="G24">
            <v>236692</v>
          </cell>
          <cell r="H24">
            <v>92660406000119</v>
          </cell>
          <cell r="I24" t="str">
            <v>FRIGELAR COMERCIO E INDUSTRIA LTDA</v>
          </cell>
          <cell r="J24" t="str">
            <v>AVENIDA PERNAMBUCO</v>
          </cell>
          <cell r="K24">
            <v>2285</v>
          </cell>
          <cell r="M24" t="str">
            <v>SAO JOAO</v>
          </cell>
          <cell r="N24" t="str">
            <v>PORTO ALEGRE</v>
          </cell>
          <cell r="O24" t="str">
            <v>RS</v>
          </cell>
          <cell r="Q24">
            <v>90240005</v>
          </cell>
          <cell r="R24">
            <v>170102220</v>
          </cell>
          <cell r="S24">
            <v>2</v>
          </cell>
          <cell r="T24">
            <v>2</v>
          </cell>
          <cell r="U24" t="str">
            <v>Analista de Risco: R$ 18.350,00 Emailage: 12259 - Tarifa:  0,3200 - Total: R$ 3.922,88 Serviço de Validação de Dados: 9748 - Tarifa:  0,1900 - Total: R$ 1.852,12 Antifraude: 12270 - Tarifa:  0,3400 - Total: R$ 4.171,80 Análise Manual Expressa: 4135 - Tarifa: 7,8800 - Total: R$ 32.583,80 (Período de apuração: 01/08/2026 à 31/08/2026) Vencimento: 11/10/2026 Brazilian Tax Information: Valor estimado dos tributos IBS e CBS, conforme disposto no art. 12 da Lei Complementar nº 214/2025 (Reforma Tributária sobre Consumo): R$187.24 (1%)</v>
          </cell>
          <cell r="V24">
            <v>62123.07</v>
          </cell>
          <cell r="W24">
            <v>1242.46</v>
          </cell>
          <cell r="X24">
            <v>931.84</v>
          </cell>
          <cell r="Y24">
            <v>403.8</v>
          </cell>
          <cell r="Z24">
            <v>1863.69</v>
          </cell>
          <cell r="AA24">
            <v>621.23</v>
          </cell>
          <cell r="AB24">
            <v>62123.07</v>
          </cell>
          <cell r="AC24">
            <v>0</v>
          </cell>
          <cell r="AD24">
            <v>0</v>
          </cell>
          <cell r="AE24" t="str">
            <v>Sim</v>
          </cell>
        </row>
        <row r="25">
          <cell r="F25">
            <v>122204</v>
          </cell>
          <cell r="G25">
            <v>236681</v>
          </cell>
          <cell r="H25">
            <v>74072513000144</v>
          </cell>
          <cell r="I25" t="str">
            <v>AGRO-COMERCIAL AFUBRA LTDA</v>
          </cell>
          <cell r="J25" t="str">
            <v>RUA JULIO DE CASTILHOS</v>
          </cell>
          <cell r="K25">
            <v>1021</v>
          </cell>
          <cell r="M25" t="str">
            <v>CENTRO</v>
          </cell>
          <cell r="N25" t="str">
            <v>SANTA CRUZ DO SUL</v>
          </cell>
          <cell r="O25" t="str">
            <v>RS</v>
          </cell>
          <cell r="Q25">
            <v>96810156</v>
          </cell>
          <cell r="R25">
            <v>170102220</v>
          </cell>
          <cell r="S25">
            <v>2</v>
          </cell>
          <cell r="T25">
            <v>2</v>
          </cell>
          <cell r="U25" t="str">
            <v>Antifraude: 100 - Total: R$ 159,89 (Cobrança pelo mínimo mensal) Análise Manual Expressa: 17 - Tarifa: 9,5800 - Total: R$ 162,86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25">
            <v>329.33</v>
          </cell>
          <cell r="W25">
            <v>6.59</v>
          </cell>
          <cell r="X25">
            <v>0</v>
          </cell>
          <cell r="Y25">
            <v>2.14</v>
          </cell>
          <cell r="Z25">
            <v>9.8800000000000008</v>
          </cell>
          <cell r="AA25">
            <v>3.29</v>
          </cell>
          <cell r="AB25">
            <v>329.33</v>
          </cell>
          <cell r="AC25">
            <v>0</v>
          </cell>
          <cell r="AD25">
            <v>0</v>
          </cell>
          <cell r="AE25" t="str">
            <v>Sim</v>
          </cell>
        </row>
        <row r="26">
          <cell r="F26">
            <v>122205</v>
          </cell>
          <cell r="G26">
            <v>236687</v>
          </cell>
          <cell r="H26">
            <v>61518366000141</v>
          </cell>
          <cell r="I26" t="str">
            <v>ALLECOMM COMERCIO DE ARTIGOS DO VESTUARIO LTDA</v>
          </cell>
          <cell r="J26" t="str">
            <v>AVENIDA LEOPOLDINA</v>
          </cell>
          <cell r="K26">
            <v>1502</v>
          </cell>
          <cell r="L26" t="str">
            <v>SALA A</v>
          </cell>
          <cell r="M26" t="str">
            <v>ZONA DE ARMAZÉM</v>
          </cell>
          <cell r="N26" t="str">
            <v>CIANORTE</v>
          </cell>
          <cell r="O26" t="str">
            <v>PR</v>
          </cell>
          <cell r="Q26">
            <v>87207018</v>
          </cell>
          <cell r="R26">
            <v>170102220</v>
          </cell>
          <cell r="S26">
            <v>2</v>
          </cell>
          <cell r="T26">
            <v>2</v>
          </cell>
          <cell r="U26" t="str">
            <v>Antifraude: 17 -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v>
          </cell>
          <cell r="V26">
            <v>191.84</v>
          </cell>
          <cell r="W26">
            <v>3.84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191.84</v>
          </cell>
          <cell r="AC26">
            <v>0</v>
          </cell>
          <cell r="AD26">
            <v>0</v>
          </cell>
          <cell r="AE26" t="str">
            <v>Sim</v>
          </cell>
        </row>
        <row r="27">
          <cell r="F27">
            <v>122206</v>
          </cell>
          <cell r="G27">
            <v>236695</v>
          </cell>
          <cell r="H27">
            <v>55979736000145</v>
          </cell>
          <cell r="I27" t="str">
            <v>ALLIAGE S/A INDUSTRIAS MEDICO ODONTOLOGICA</v>
          </cell>
          <cell r="J27" t="str">
            <v>RODOVIA ABRAO ASSED</v>
          </cell>
          <cell r="K27">
            <v>0</v>
          </cell>
          <cell r="L27" t="str">
            <v>KM 53 E 45 0 METROS</v>
          </cell>
          <cell r="M27" t="str">
            <v>RECREIO ANHANGUERA</v>
          </cell>
          <cell r="N27" t="str">
            <v>RIBEIRAO PRETO</v>
          </cell>
          <cell r="O27" t="str">
            <v>SP</v>
          </cell>
          <cell r="Q27">
            <v>14097500</v>
          </cell>
          <cell r="R27">
            <v>170102220</v>
          </cell>
          <cell r="S27">
            <v>2</v>
          </cell>
          <cell r="T27">
            <v>2</v>
          </cell>
          <cell r="U27" t="str">
            <v>Analista de Risco: R$ 0,01 Emailage: 3 - Tarifa:  0,5330 - Total: R$ 1,60 Serviço de Validação de Dados: 3 - Tarifa:  0,5330 - Total: R$ 1,60 Antifraude: 3 - Total: R$ 4.349,68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27">
            <v>4441.72</v>
          </cell>
          <cell r="W27">
            <v>88.83</v>
          </cell>
          <cell r="X27">
            <v>66.62</v>
          </cell>
          <cell r="Y27">
            <v>28.87</v>
          </cell>
          <cell r="Z27">
            <v>133.25</v>
          </cell>
          <cell r="AA27">
            <v>44.42</v>
          </cell>
          <cell r="AB27">
            <v>4441.72</v>
          </cell>
          <cell r="AC27">
            <v>0</v>
          </cell>
          <cell r="AD27">
            <v>0</v>
          </cell>
          <cell r="AE27" t="str">
            <v>Sim</v>
          </cell>
        </row>
        <row r="28">
          <cell r="F28">
            <v>122207</v>
          </cell>
          <cell r="G28">
            <v>236700</v>
          </cell>
          <cell r="H28">
            <v>20977902000190</v>
          </cell>
          <cell r="I28" t="str">
            <v>AMERICANVEK PROTECAO INDUSTRIAL LTDA</v>
          </cell>
          <cell r="J28" t="str">
            <v>RUA PEDRO SANTALUCIA</v>
          </cell>
          <cell r="K28">
            <v>162</v>
          </cell>
          <cell r="M28" t="str">
            <v>INTERLAGOS</v>
          </cell>
          <cell r="N28" t="str">
            <v>SAO PAULO</v>
          </cell>
          <cell r="O28" t="str">
            <v>SP</v>
          </cell>
          <cell r="Q28">
            <v>4815250</v>
          </cell>
          <cell r="R28">
            <v>170102220</v>
          </cell>
          <cell r="S28">
            <v>2</v>
          </cell>
          <cell r="T28">
            <v>2</v>
          </cell>
          <cell r="U28" t="str">
            <v>Antifraude: 81 -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v>
          </cell>
          <cell r="V28">
            <v>195.67</v>
          </cell>
          <cell r="W28">
            <v>3.91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195.67</v>
          </cell>
          <cell r="AC28">
            <v>0</v>
          </cell>
          <cell r="AD28">
            <v>0</v>
          </cell>
          <cell r="AE28" t="str">
            <v>Sim</v>
          </cell>
        </row>
        <row r="29">
          <cell r="F29">
            <v>122208</v>
          </cell>
          <cell r="G29">
            <v>236694</v>
          </cell>
          <cell r="H29">
            <v>29309127000179</v>
          </cell>
          <cell r="I29" t="str">
            <v>AMIL ASSISTENCIA MEDICA INTERNACIONAL S.A.</v>
          </cell>
          <cell r="J29" t="str">
            <v>AVENIDA DR CHUCRI ZAIDAN</v>
          </cell>
          <cell r="K29" t="str">
            <v>S/N</v>
          </cell>
          <cell r="L29" t="str">
            <v>EDIF TR. B EMP. EZ T</v>
          </cell>
          <cell r="M29" t="str">
            <v>VILA SAO FRANCISCO (ZONA SUL)</v>
          </cell>
          <cell r="N29" t="str">
            <v>SAO PAULO</v>
          </cell>
          <cell r="O29" t="str">
            <v>SP</v>
          </cell>
          <cell r="Q29">
            <v>4711130</v>
          </cell>
          <cell r="R29">
            <v>170102220</v>
          </cell>
          <cell r="S29">
            <v>2</v>
          </cell>
          <cell r="T29">
            <v>2</v>
          </cell>
          <cell r="U29" t="str">
            <v>Analista de Risco: R$ 4.318,10 Emailage: 13485 - Tarifa:  0,3200 - Total: R$ 4.315,20 Antifraude: 13485 - Tarifa:  0,4000 - Total: R$ 5.394,00 (Período de apuração: 01/08/2026 à 31/08/2026) Vencimento: 11/10/2026 Brazilian Tax Information: Valor estimado dos tributos IBS e CBS, conforme disposto no art. 12 da Lei Complementar nº 214/2025 (Reforma Tributária sobre Consumo): R$44.06 (1%)</v>
          </cell>
          <cell r="V29">
            <v>14313.57</v>
          </cell>
          <cell r="W29">
            <v>286.27</v>
          </cell>
          <cell r="X29">
            <v>214.7</v>
          </cell>
          <cell r="Y29">
            <v>93.04</v>
          </cell>
          <cell r="Z29">
            <v>429.41</v>
          </cell>
          <cell r="AA29">
            <v>143.13</v>
          </cell>
          <cell r="AB29">
            <v>14313.57</v>
          </cell>
          <cell r="AC29">
            <v>0</v>
          </cell>
          <cell r="AD29">
            <v>0</v>
          </cell>
          <cell r="AE29" t="str">
            <v>Sim</v>
          </cell>
        </row>
        <row r="30">
          <cell r="F30">
            <v>122209</v>
          </cell>
          <cell r="G30">
            <v>236690</v>
          </cell>
          <cell r="H30">
            <v>10925214000122</v>
          </cell>
          <cell r="I30" t="str">
            <v>APOIO DENTAL COMERCIO DE PRODUTOS E EQUIPAMENTOS ODONTOLOGIC</v>
          </cell>
          <cell r="J30" t="str">
            <v>RUA SERRA DE JUREA</v>
          </cell>
          <cell r="K30">
            <v>250</v>
          </cell>
          <cell r="L30" t="str">
            <v>ANEXO RUA CANTAGALO</v>
          </cell>
          <cell r="M30" t="str">
            <v>CIDADE MAE DO CEU</v>
          </cell>
          <cell r="N30" t="str">
            <v>SAO PAULO</v>
          </cell>
          <cell r="O30" t="str">
            <v>SP</v>
          </cell>
          <cell r="Q30">
            <v>3323020</v>
          </cell>
          <cell r="R30">
            <v>170102220</v>
          </cell>
          <cell r="S30">
            <v>2</v>
          </cell>
          <cell r="T30">
            <v>2</v>
          </cell>
          <cell r="U30" t="str">
            <v>Antifraude: 105 - Total: R$ 190,00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R$1.94 (1%)</v>
          </cell>
          <cell r="V30">
            <v>193.88</v>
          </cell>
          <cell r="W30">
            <v>3.88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193.88</v>
          </cell>
          <cell r="AC30">
            <v>0</v>
          </cell>
          <cell r="AD30">
            <v>0</v>
          </cell>
          <cell r="AE30" t="str">
            <v>Sim</v>
          </cell>
        </row>
        <row r="31">
          <cell r="F31">
            <v>122210</v>
          </cell>
          <cell r="G31">
            <v>236708</v>
          </cell>
          <cell r="H31">
            <v>6862627000138</v>
          </cell>
          <cell r="I31" t="str">
            <v>CLAUDINO S A LOJAS DE DEPARTAMENTOS</v>
          </cell>
          <cell r="J31" t="str">
            <v>JOAO CABRAL</v>
          </cell>
          <cell r="K31">
            <v>0</v>
          </cell>
          <cell r="M31" t="str">
            <v>CENTRO</v>
          </cell>
          <cell r="N31" t="str">
            <v>TERESINA</v>
          </cell>
          <cell r="O31" t="str">
            <v>PI</v>
          </cell>
          <cell r="Q31">
            <v>64000030</v>
          </cell>
          <cell r="R31">
            <v>170102220</v>
          </cell>
          <cell r="S31">
            <v>2</v>
          </cell>
          <cell r="T31">
            <v>2</v>
          </cell>
          <cell r="U31" t="str">
            <v>Antifraude: 1296 - Tarifa:  0,7002 - Total: R$ 907,46 Análise Manual Expressa: 21 - Tarifa: 9,2500 - Total: R$ 194,25 Analista de Risco: R$ 4.078,98 (Período de apuração: 01/08/2026 à 31/08/2026) Vencimento: 19/09/2026 Brazilian Tax Information: Valor estimado dos tributos IBS e CBS, conforme disposto no art. 12 da Lei Complementar nº 214/2025 (Reforma Tributária sobre Consumo): R$9.26 (1%)</v>
          </cell>
          <cell r="V31">
            <v>5286.41</v>
          </cell>
          <cell r="W31">
            <v>105.73</v>
          </cell>
          <cell r="X31">
            <v>79.290000000000006</v>
          </cell>
          <cell r="Y31">
            <v>34.36</v>
          </cell>
          <cell r="Z31">
            <v>158.6</v>
          </cell>
          <cell r="AA31">
            <v>52.86</v>
          </cell>
          <cell r="AB31">
            <v>5286.41</v>
          </cell>
          <cell r="AC31">
            <v>0</v>
          </cell>
          <cell r="AD31">
            <v>0</v>
          </cell>
          <cell r="AE31" t="str">
            <v>Sim</v>
          </cell>
        </row>
        <row r="32">
          <cell r="F32">
            <v>122211</v>
          </cell>
          <cell r="G32">
            <v>236721</v>
          </cell>
          <cell r="H32">
            <v>1136729000152</v>
          </cell>
          <cell r="I32" t="str">
            <v>ASTRA ABC COMERCIAL LTDA</v>
          </cell>
          <cell r="J32" t="str">
            <v>RUA DISTRITO FEDERAL</v>
          </cell>
          <cell r="K32">
            <v>18</v>
          </cell>
          <cell r="M32" t="str">
            <v>SANTA TEREZINHA</v>
          </cell>
          <cell r="N32" t="str">
            <v>SANTO ANDRE</v>
          </cell>
          <cell r="O32" t="str">
            <v>SP</v>
          </cell>
          <cell r="Q32">
            <v>9210390</v>
          </cell>
          <cell r="R32">
            <v>170102220</v>
          </cell>
          <cell r="S32">
            <v>2</v>
          </cell>
          <cell r="T32">
            <v>2</v>
          </cell>
          <cell r="U32" t="str">
            <v>Antifraude: 5 - Total: R$ 495,00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R$5.05 (1%)</v>
          </cell>
          <cell r="V32">
            <v>554.04</v>
          </cell>
          <cell r="W32">
            <v>11.08</v>
          </cell>
          <cell r="X32">
            <v>0</v>
          </cell>
          <cell r="Y32">
            <v>3.6</v>
          </cell>
          <cell r="Z32">
            <v>16.62</v>
          </cell>
          <cell r="AA32">
            <v>5.54</v>
          </cell>
          <cell r="AB32">
            <v>554.04</v>
          </cell>
          <cell r="AC32">
            <v>0</v>
          </cell>
          <cell r="AD32">
            <v>0</v>
          </cell>
          <cell r="AE32" t="str">
            <v>Sim</v>
          </cell>
        </row>
        <row r="33">
          <cell r="F33">
            <v>122212</v>
          </cell>
          <cell r="G33">
            <v>236709</v>
          </cell>
          <cell r="H33">
            <v>83310441005429</v>
          </cell>
          <cell r="I33" t="str">
            <v>COOPERATIVA CENTRAL AURORA ALIMENTOS</v>
          </cell>
          <cell r="J33" t="str">
            <v>AVENIDA SANTOS DUMONT</v>
          </cell>
          <cell r="K33">
            <v>1211</v>
          </cell>
          <cell r="M33" t="str">
            <v>CIDADE INDUSTRIAL SATELITE DE SAO PAULO</v>
          </cell>
          <cell r="N33" t="str">
            <v>GUARULHOS</v>
          </cell>
          <cell r="O33" t="str">
            <v>SP</v>
          </cell>
          <cell r="Q33">
            <v>7220000</v>
          </cell>
          <cell r="R33">
            <v>170102220</v>
          </cell>
          <cell r="S33">
            <v>2</v>
          </cell>
          <cell r="T33">
            <v>2</v>
          </cell>
          <cell r="U33" t="str">
            <v>Analista de Risco: R$ 0,01 Emailage: 238 - Tarifa:  0,5017 - Total: R$ 119,40 Antifraude: 449 - Total: R$ 4.896,58 (Cobrança pelo mínimo mensal) Análise Manual Expressa: 32 - Tarifa: 12,2000 - Total: R$ 390,40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33">
            <v>5516.73</v>
          </cell>
          <cell r="W33">
            <v>110.33</v>
          </cell>
          <cell r="X33">
            <v>82.76</v>
          </cell>
          <cell r="Y33">
            <v>35.86</v>
          </cell>
          <cell r="Z33">
            <v>165.51</v>
          </cell>
          <cell r="AA33">
            <v>55.17</v>
          </cell>
          <cell r="AB33">
            <v>5516.73</v>
          </cell>
          <cell r="AC33">
            <v>0</v>
          </cell>
          <cell r="AD33">
            <v>0</v>
          </cell>
          <cell r="AE33" t="str">
            <v>Sim</v>
          </cell>
        </row>
        <row r="34">
          <cell r="F34">
            <v>122213</v>
          </cell>
          <cell r="G34">
            <v>236714</v>
          </cell>
          <cell r="H34">
            <v>3635174000119</v>
          </cell>
          <cell r="I34" t="str">
            <v>BANCORBRAS TURISMO S.A</v>
          </cell>
          <cell r="J34" t="str">
            <v>QUADRA SCN QUADRA 2 BLOCO C</v>
          </cell>
          <cell r="K34">
            <v>900</v>
          </cell>
          <cell r="L34" t="str">
            <v>PAVMTOPRIM EIRO PART</v>
          </cell>
          <cell r="M34" t="str">
            <v>ASA NORTE</v>
          </cell>
          <cell r="N34" t="str">
            <v>BRASILIA</v>
          </cell>
          <cell r="O34" t="str">
            <v>DF</v>
          </cell>
          <cell r="Q34">
            <v>70712030</v>
          </cell>
          <cell r="R34">
            <v>170102220</v>
          </cell>
          <cell r="S34">
            <v>2</v>
          </cell>
          <cell r="T34">
            <v>2</v>
          </cell>
          <cell r="U34" t="str">
            <v>Analista de Risco: R$ 4.821,99 Antifraude: 2030 - Tarifa:  0,7561 - Total: R$ 1.534,88 (Período de apuração: 01/08/2026 à 31/08/2026) Vencimento: 26/09/2026 Brazilian Tax Information: Valor estimado dos tributos IBS e CBS, conforme disposto no art. 12 da Lei Complementar nº 214/2025 (Reforma Tributária sobre Consumo): R$49.20 (1%)</v>
          </cell>
          <cell r="V34">
            <v>6486.6</v>
          </cell>
          <cell r="W34">
            <v>129.72999999999999</v>
          </cell>
          <cell r="X34">
            <v>97.3</v>
          </cell>
          <cell r="Y34">
            <v>42.16</v>
          </cell>
          <cell r="Z34">
            <v>194.6</v>
          </cell>
          <cell r="AA34">
            <v>64.86</v>
          </cell>
          <cell r="AB34">
            <v>6486.6</v>
          </cell>
          <cell r="AC34">
            <v>0</v>
          </cell>
          <cell r="AD34">
            <v>0</v>
          </cell>
          <cell r="AE34" t="str">
            <v>Sim</v>
          </cell>
        </row>
        <row r="35">
          <cell r="F35">
            <v>122214</v>
          </cell>
          <cell r="G35">
            <v>236704</v>
          </cell>
          <cell r="H35">
            <v>27797303000133</v>
          </cell>
          <cell r="I35" t="str">
            <v>BARATA AVIATION AVIACAO LTDA</v>
          </cell>
          <cell r="J35" t="str">
            <v>SITIO SAO JOSE</v>
          </cell>
          <cell r="K35" t="str">
            <v>SN</v>
          </cell>
          <cell r="L35" t="str">
            <v>LOTE 113-A CXPST 402</v>
          </cell>
          <cell r="M35" t="str">
            <v>GLEBA JACUTINGA</v>
          </cell>
          <cell r="N35" t="str">
            <v>LONDRINA</v>
          </cell>
          <cell r="O35" t="str">
            <v>PR</v>
          </cell>
          <cell r="Q35">
            <v>86001970</v>
          </cell>
          <cell r="R35">
            <v>170102220</v>
          </cell>
          <cell r="S35">
            <v>2</v>
          </cell>
          <cell r="T35">
            <v>2</v>
          </cell>
          <cell r="U35" t="str">
            <v>Antifraude: 7 - Total: R$ 327,00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R$3.34 (1%)</v>
          </cell>
          <cell r="V35">
            <v>407.08</v>
          </cell>
          <cell r="W35">
            <v>8.14</v>
          </cell>
          <cell r="X35">
            <v>0</v>
          </cell>
          <cell r="Y35">
            <v>2.65</v>
          </cell>
          <cell r="Z35">
            <v>12.21</v>
          </cell>
          <cell r="AA35">
            <v>4.07</v>
          </cell>
          <cell r="AB35">
            <v>407.08</v>
          </cell>
          <cell r="AC35">
            <v>0</v>
          </cell>
          <cell r="AD35">
            <v>0</v>
          </cell>
          <cell r="AE35" t="str">
            <v>Sim</v>
          </cell>
        </row>
        <row r="36">
          <cell r="F36">
            <v>122215</v>
          </cell>
          <cell r="G36">
            <v>236706</v>
          </cell>
          <cell r="H36">
            <v>11805397000105</v>
          </cell>
          <cell r="I36" t="str">
            <v>BEACH PARK HOTEIS E TURISMO S/A</v>
          </cell>
          <cell r="J36" t="str">
            <v>AVENIDA DOS GOLFINHOS</v>
          </cell>
          <cell r="K36">
            <v>2734</v>
          </cell>
          <cell r="M36" t="str">
            <v>PORTO DAS DUNAS III ETAPA</v>
          </cell>
          <cell r="N36" t="str">
            <v>AQUIRAZ</v>
          </cell>
          <cell r="O36" t="str">
            <v>CE</v>
          </cell>
          <cell r="Q36">
            <v>61700000</v>
          </cell>
          <cell r="R36">
            <v>170102220</v>
          </cell>
          <cell r="S36">
            <v>2</v>
          </cell>
          <cell r="T36">
            <v>2</v>
          </cell>
          <cell r="U36" t="str">
            <v>Analista de Risco: R$ 4.162,47 Antifraude: 234 - Total: R$ 1.600,95 (Cobrança pelo mínimo mensal) (Período de apuração: 01/08/2026 à 31/08/2026) Vencimento: 11/10/2026 Brazilian Tax Information: Valor estimado dos tributos IBS e CBS, conforme disposto no art. 12 da Lei Complementar nº 214/2025 (Reforma Tributária sobre Consumo): R$42.47 (1%)</v>
          </cell>
          <cell r="V36">
            <v>5881.04</v>
          </cell>
          <cell r="W36">
            <v>117.62</v>
          </cell>
          <cell r="X36">
            <v>88.21</v>
          </cell>
          <cell r="Y36">
            <v>38.229999999999997</v>
          </cell>
          <cell r="Z36">
            <v>176.43</v>
          </cell>
          <cell r="AA36">
            <v>58.81</v>
          </cell>
          <cell r="AB36">
            <v>5881.04</v>
          </cell>
          <cell r="AC36">
            <v>0</v>
          </cell>
          <cell r="AD36">
            <v>0</v>
          </cell>
          <cell r="AE36" t="str">
            <v>Sim</v>
          </cell>
        </row>
        <row r="37">
          <cell r="F37">
            <v>122216</v>
          </cell>
          <cell r="G37">
            <v>236705</v>
          </cell>
          <cell r="H37">
            <v>63476808000160</v>
          </cell>
          <cell r="I37" t="str">
            <v>BEETOP INDUSTRIA E COMERCIO DE CONFECCOES LTDA</v>
          </cell>
          <cell r="J37" t="str">
            <v>RUA DOUTOR MARLIO FERNANDES</v>
          </cell>
          <cell r="K37">
            <v>100</v>
          </cell>
          <cell r="L37" t="str">
            <v>B</v>
          </cell>
          <cell r="M37" t="str">
            <v>EDSON QUEIROZ</v>
          </cell>
          <cell r="N37" t="str">
            <v>FORTALEZA</v>
          </cell>
          <cell r="O37" t="str">
            <v>CE</v>
          </cell>
          <cell r="Q37">
            <v>60810025</v>
          </cell>
          <cell r="R37">
            <v>170102220</v>
          </cell>
          <cell r="S37">
            <v>2</v>
          </cell>
          <cell r="T37">
            <v>2</v>
          </cell>
          <cell r="U37" t="str">
            <v>Antifraude: 19 - Total: R$ 198,00 (Cobrança pelo mínimo mensal) Análise Manual Expressa: 9 - Tarifa: 11,9900 - Total: R$ 107,91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37">
            <v>312.14999999999998</v>
          </cell>
          <cell r="W37">
            <v>6.24</v>
          </cell>
          <cell r="X37">
            <v>0</v>
          </cell>
          <cell r="Y37">
            <v>2.0299999999999998</v>
          </cell>
          <cell r="Z37">
            <v>9.36</v>
          </cell>
          <cell r="AA37">
            <v>3.12</v>
          </cell>
          <cell r="AB37">
            <v>312.14999999999998</v>
          </cell>
          <cell r="AC37">
            <v>0</v>
          </cell>
          <cell r="AD37">
            <v>0</v>
          </cell>
          <cell r="AE37" t="str">
            <v>Sim</v>
          </cell>
        </row>
        <row r="38">
          <cell r="F38">
            <v>122217</v>
          </cell>
          <cell r="G38">
            <v>236707</v>
          </cell>
          <cell r="H38">
            <v>5151518000140</v>
          </cell>
          <cell r="I38" t="str">
            <v>BELENUS LTDA</v>
          </cell>
          <cell r="J38" t="str">
            <v>RUA COMENDADOR JOAO LUCAS</v>
          </cell>
          <cell r="K38">
            <v>300</v>
          </cell>
          <cell r="M38" t="str">
            <v>DISTRITO INDUSTRIAL BENEDITO STORANI</v>
          </cell>
          <cell r="N38" t="str">
            <v>VINHEDO</v>
          </cell>
          <cell r="O38" t="str">
            <v>SP</v>
          </cell>
          <cell r="Q38">
            <v>13288184</v>
          </cell>
          <cell r="R38">
            <v>170102220</v>
          </cell>
          <cell r="S38">
            <v>2</v>
          </cell>
          <cell r="T38">
            <v>2</v>
          </cell>
          <cell r="U38" t="str">
            <v>Analista de Risco: R$ 21.222,24 Credilink: 726 - Tarifa:  0,5348 - Total: R$ 388,26 Emailage: 754 - Tarifa:  0,6083 - Total: R$ 458,66 Antifraude: 1883 - Tarifa:  0,7657 - Total: R$ 1.441,81 Serviço de Validação de Dados: 606 - Tarifa:  0,4929 - Total: R$ 298,70 Análise Manual Expressa: 85 - Tarifa: 17,6800 - Total: R$ 1.502,80 (Período de apuração: 01/08/2026 à 31/08/2026) Vencimento: 26/09/2026 Brazilian Tax Information: Valor estimado dos tributos IBS e CBS, conforme disposto no art. 12 da Lei Complementar nº 214/2025 (Reforma Tributária sobre Consumo): R$216.55 (1%)</v>
          </cell>
          <cell r="V38">
            <v>25829.05</v>
          </cell>
          <cell r="W38">
            <v>516.58000000000004</v>
          </cell>
          <cell r="X38">
            <v>387.43</v>
          </cell>
          <cell r="Y38">
            <v>167.89</v>
          </cell>
          <cell r="Z38">
            <v>774.87</v>
          </cell>
          <cell r="AA38">
            <v>258.27999999999997</v>
          </cell>
          <cell r="AB38">
            <v>25829.05</v>
          </cell>
          <cell r="AC38">
            <v>0</v>
          </cell>
          <cell r="AD38">
            <v>0</v>
          </cell>
          <cell r="AE38" t="str">
            <v>Sim</v>
          </cell>
        </row>
        <row r="39">
          <cell r="F39">
            <v>122218</v>
          </cell>
          <cell r="G39">
            <v>236718</v>
          </cell>
          <cell r="H39">
            <v>4565289000147</v>
          </cell>
          <cell r="I39" t="str">
            <v>BEMOL S/A</v>
          </cell>
          <cell r="J39" t="str">
            <v>AVENIDA FLORIANO PEIXOTO</v>
          </cell>
          <cell r="K39">
            <v>32</v>
          </cell>
          <cell r="M39" t="str">
            <v>CENTRO</v>
          </cell>
          <cell r="N39" t="str">
            <v>MANAUS</v>
          </cell>
          <cell r="O39" t="str">
            <v>AM</v>
          </cell>
          <cell r="Q39">
            <v>69005070</v>
          </cell>
          <cell r="R39">
            <v>170102220</v>
          </cell>
          <cell r="S39">
            <v>2</v>
          </cell>
          <cell r="T39">
            <v>2</v>
          </cell>
          <cell r="U39" t="str">
            <v>Analista de Risco: R$ 21.723,81 Antifraude: 9898 - Total: R$ 7.693,85 (Cobrança pelo mínimo mensal) Análise Manual: 2183 - Tarifa: 12,9252 - Total: R$ 28.215,71 Análise Manual Expressa: 80 - Tarifa: 11,9800 - Total: R$ 958,40 (Período de apuração: 01/08/2026 à 31/08/2026) Vencimento: 11/10/2026 Brazilian Tax Information: Valor estimado dos tributos IBS e CBS, conforme disposto no art. 12 da Lei Complementar nº 214/2025 (Reforma Tributária sobre Consumo): R$221.67 (1%)</v>
          </cell>
          <cell r="V39">
            <v>59787.519999999997</v>
          </cell>
          <cell r="W39">
            <v>1195.75</v>
          </cell>
          <cell r="X39">
            <v>896.81</v>
          </cell>
          <cell r="Y39">
            <v>388.63</v>
          </cell>
          <cell r="Z39">
            <v>1793.63</v>
          </cell>
          <cell r="AA39">
            <v>597.88</v>
          </cell>
          <cell r="AB39">
            <v>59787.519999999997</v>
          </cell>
          <cell r="AC39">
            <v>0</v>
          </cell>
          <cell r="AD39">
            <v>0</v>
          </cell>
          <cell r="AE39" t="str">
            <v>Sim</v>
          </cell>
        </row>
        <row r="40">
          <cell r="F40">
            <v>122219</v>
          </cell>
          <cell r="G40">
            <v>236722</v>
          </cell>
          <cell r="H40">
            <v>87556650001500</v>
          </cell>
          <cell r="I40" t="str">
            <v>BERTOLINI S/A</v>
          </cell>
          <cell r="J40" t="str">
            <v>RODOVIA BR-259</v>
          </cell>
          <cell r="K40" t="str">
            <v>KM51</v>
          </cell>
          <cell r="L40" t="str">
            <v>PAVLH A</v>
          </cell>
          <cell r="M40" t="str">
            <v>SANTA HELENA</v>
          </cell>
          <cell r="N40" t="str">
            <v>COLATINA</v>
          </cell>
          <cell r="O40" t="str">
            <v>ES</v>
          </cell>
          <cell r="Q40">
            <v>29705760</v>
          </cell>
          <cell r="R40">
            <v>170102220</v>
          </cell>
          <cell r="S40">
            <v>2</v>
          </cell>
          <cell r="T40">
            <v>2</v>
          </cell>
          <cell r="U40" t="str">
            <v>Antifraude: 38 - Total: R$ 218,00 (Cobrança pelo mínimo mensal) Análise Manual Expressa: 22 - Tarifa: 11,9900 - Total: R$ 263,78 (Período de apuração: 01/08/2026 à 31/08/2026) Vencimento: 26/09/2026 Brazilian Tax Information: Valor estimado dos tributos IBS e CBS, conforme disposto no art. 12 da Lei Complementar nº 214/2025 (Reforma Tributária sobre Consumo): R$2.22 (1%)</v>
          </cell>
          <cell r="V40">
            <v>491.61</v>
          </cell>
          <cell r="W40">
            <v>9.83</v>
          </cell>
          <cell r="X40">
            <v>0</v>
          </cell>
          <cell r="Y40">
            <v>3.2</v>
          </cell>
          <cell r="Z40">
            <v>14.74</v>
          </cell>
          <cell r="AA40">
            <v>4.91</v>
          </cell>
          <cell r="AB40">
            <v>491.61</v>
          </cell>
          <cell r="AC40">
            <v>0</v>
          </cell>
          <cell r="AD40">
            <v>0</v>
          </cell>
          <cell r="AE40" t="str">
            <v>Sim</v>
          </cell>
        </row>
        <row r="41">
          <cell r="F41">
            <v>122220</v>
          </cell>
          <cell r="G41">
            <v>236712</v>
          </cell>
          <cell r="H41">
            <v>64565385000117</v>
          </cell>
          <cell r="I41" t="str">
            <v>BIVIK CONFECCOES LTDA</v>
          </cell>
          <cell r="J41" t="str">
            <v>RUA BR DE LADARIO</v>
          </cell>
          <cell r="K41">
            <v>159</v>
          </cell>
          <cell r="L41" t="str">
            <v>ANEXO INT. RUA DA JU</v>
          </cell>
          <cell r="M41" t="str">
            <v>BRAS</v>
          </cell>
          <cell r="N41" t="str">
            <v>SAO PAULO</v>
          </cell>
          <cell r="O41" t="str">
            <v>SP</v>
          </cell>
          <cell r="Q41">
            <v>3010000</v>
          </cell>
          <cell r="R41">
            <v>170102220</v>
          </cell>
          <cell r="S41">
            <v>2</v>
          </cell>
          <cell r="T41">
            <v>2</v>
          </cell>
          <cell r="U41" t="str">
            <v>Antifraude: 27 - Total: R$ 151,71 (Cobrança pelo mínimo mensal) Análise Manual: 27 - Tarifa: 10,8489 - Total: R$ 292,92 (Período de apuração: 01/08/2026 à 31/08/2026) Vencimento: 26/09/2026 Brazilian Tax Information: Valor estimado dos tributos IBS e CBS, conforme disposto no art. 12 da Lei Complementar nº 214/2025 (Reforma Tributária sobre Consumo): R$1.55 (1%)</v>
          </cell>
          <cell r="V41">
            <v>453.71</v>
          </cell>
          <cell r="W41">
            <v>9.07</v>
          </cell>
          <cell r="X41">
            <v>0</v>
          </cell>
          <cell r="Y41">
            <v>2.95</v>
          </cell>
          <cell r="Z41">
            <v>13.61</v>
          </cell>
          <cell r="AA41">
            <v>4.54</v>
          </cell>
          <cell r="AB41">
            <v>453.71</v>
          </cell>
          <cell r="AC41">
            <v>0</v>
          </cell>
          <cell r="AD41">
            <v>0</v>
          </cell>
          <cell r="AE41" t="str">
            <v>Sim</v>
          </cell>
        </row>
        <row r="42">
          <cell r="F42">
            <v>122221</v>
          </cell>
          <cell r="G42">
            <v>236703</v>
          </cell>
          <cell r="H42">
            <v>1838723000127</v>
          </cell>
          <cell r="I42" t="str">
            <v>BRF S.A.</v>
          </cell>
          <cell r="J42" t="str">
            <v>RUA JORGE TZACHEL</v>
          </cell>
          <cell r="K42">
            <v>475</v>
          </cell>
          <cell r="M42" t="str">
            <v>FAZENDA</v>
          </cell>
          <cell r="N42" t="str">
            <v>ITAJAI</v>
          </cell>
          <cell r="O42" t="str">
            <v>SC</v>
          </cell>
          <cell r="Q42">
            <v>88301600</v>
          </cell>
          <cell r="R42">
            <v>170102220</v>
          </cell>
          <cell r="S42">
            <v>2</v>
          </cell>
          <cell r="T42">
            <v>2</v>
          </cell>
          <cell r="U42" t="str">
            <v>Analista de Risco: R$ 16.655,89 Credilink: 2497 - Tarifa:  0,3620 - Total: R$ 903,91 Emailage: 2535 - Tarifa:  0,3620 - Total: R$ 917,67 Antifraude: 2557 - Total: R$ 4.258,72 (Cobrança pelo mínimo mensal) Serviço de Validação de Dados: 174 - Tarifa:  0,3620 - Total: R$ 62,99 Análise Manual Expressa: 293 - Tarifa: 8,9100 - Total: R$ 2.610,63 (Período de apuração: 01/08/2026 à 31/08/2026) Vencimento: 10/12/2026 Brazilian Tax Information: Valor estimado dos tributos IBS e CBS, conforme disposto no art. 12 da Lei Complementar nº 214/2025 (Reforma Tributária sobre Consumo): R$169.96 (1%)</v>
          </cell>
          <cell r="V42">
            <v>25928.39</v>
          </cell>
          <cell r="W42">
            <v>518.57000000000005</v>
          </cell>
          <cell r="X42">
            <v>388.93</v>
          </cell>
          <cell r="Y42">
            <v>168.55</v>
          </cell>
          <cell r="Z42">
            <v>777.85</v>
          </cell>
          <cell r="AA42">
            <v>259.27999999999997</v>
          </cell>
          <cell r="AB42">
            <v>25928.39</v>
          </cell>
          <cell r="AC42">
            <v>0</v>
          </cell>
          <cell r="AD42">
            <v>0</v>
          </cell>
          <cell r="AE42" t="str">
            <v>Sim</v>
          </cell>
        </row>
        <row r="43">
          <cell r="F43">
            <v>122222</v>
          </cell>
          <cell r="G43">
            <v>236716</v>
          </cell>
          <cell r="H43">
            <v>737669000160</v>
          </cell>
          <cell r="I43" t="str">
            <v>BROCKER TURISMO LTDA</v>
          </cell>
          <cell r="J43" t="str">
            <v>RUA BORGES DE MEDEIROS</v>
          </cell>
          <cell r="K43">
            <v>851</v>
          </cell>
          <cell r="M43" t="str">
            <v>CENTRO</v>
          </cell>
          <cell r="N43" t="str">
            <v>CANELA</v>
          </cell>
          <cell r="O43" t="str">
            <v>RS</v>
          </cell>
          <cell r="Q43">
            <v>95680228</v>
          </cell>
          <cell r="R43">
            <v>170102220</v>
          </cell>
          <cell r="S43">
            <v>2</v>
          </cell>
          <cell r="T43">
            <v>2</v>
          </cell>
          <cell r="U43" t="str">
            <v>Antifraude: 784 - Tarifa:  0,6766 - Total: R$ 530,45 (Período de apuração: 01/08/2026 à 31/08/2026) Vencimento: 26/09/2026 Brazilian Tax Information: Valor estimado dos tributos IBS e CBS, conforme disposto no art. 12 da Lei Complementar nº 214/2025 (Reforma Tributária sobre Consumo): R$5.41 (1%)</v>
          </cell>
          <cell r="V43">
            <v>541.28</v>
          </cell>
          <cell r="W43">
            <v>10.83</v>
          </cell>
          <cell r="X43">
            <v>0</v>
          </cell>
          <cell r="Y43">
            <v>3.52</v>
          </cell>
          <cell r="Z43">
            <v>16.239999999999998</v>
          </cell>
          <cell r="AA43">
            <v>5.41</v>
          </cell>
          <cell r="AB43">
            <v>541.28</v>
          </cell>
          <cell r="AC43">
            <v>0</v>
          </cell>
          <cell r="AD43">
            <v>0</v>
          </cell>
          <cell r="AE43" t="str">
            <v>Sim</v>
          </cell>
        </row>
        <row r="44">
          <cell r="F44">
            <v>122223</v>
          </cell>
          <cell r="G44">
            <v>236717</v>
          </cell>
          <cell r="H44">
            <v>16912899000159</v>
          </cell>
          <cell r="I44" t="str">
            <v>BSB SERVICOS DE INTERMEDIACAO DE NEGOCIOS E SOLUCOES WEB LTD</v>
          </cell>
          <cell r="J44" t="str">
            <v>AVENIDA PRES GETULIO VARGAS</v>
          </cell>
          <cell r="K44">
            <v>1605</v>
          </cell>
          <cell r="L44" t="str">
            <v>LJ 09 CXPS T 57</v>
          </cell>
          <cell r="M44" t="str">
            <v>BAIRRO NOVO</v>
          </cell>
          <cell r="N44" t="str">
            <v>OLINDA</v>
          </cell>
          <cell r="O44" t="str">
            <v>PE</v>
          </cell>
          <cell r="Q44">
            <v>53030010</v>
          </cell>
          <cell r="R44">
            <v>170102220</v>
          </cell>
          <cell r="S44">
            <v>2</v>
          </cell>
          <cell r="T44">
            <v>2</v>
          </cell>
          <cell r="U44" t="str">
            <v>Antifraude: 3 - Total: R$ 743,68 (Cobrança pelo mínimo mensal) (Período de apuração: 01/08/2026 à 31/08/2026) Vencimento: 26/09/2026 Brazilian Tax Information: Valor estimado dos tributos IBS e CBS, conforme disposto no art. 12 da Lei Complementar nº 214/2025 (Reforma Tributária sobre Consumo): R$7.59 (1%)</v>
          </cell>
          <cell r="V44">
            <v>758.86</v>
          </cell>
          <cell r="W44">
            <v>15.18</v>
          </cell>
          <cell r="X44">
            <v>11.38</v>
          </cell>
          <cell r="Y44">
            <v>4.93</v>
          </cell>
          <cell r="Z44">
            <v>22.77</v>
          </cell>
          <cell r="AA44">
            <v>7.59</v>
          </cell>
          <cell r="AB44">
            <v>758.86</v>
          </cell>
          <cell r="AC44">
            <v>0</v>
          </cell>
          <cell r="AD44">
            <v>0</v>
          </cell>
          <cell r="AE44" t="str">
            <v>Sim</v>
          </cell>
        </row>
        <row r="45">
          <cell r="F45">
            <v>122224</v>
          </cell>
          <cell r="G45">
            <v>236702</v>
          </cell>
          <cell r="H45">
            <v>46266771000126</v>
          </cell>
          <cell r="I45" t="str">
            <v>CANON DO BRASIL INDUSTRIA E COMERCIO LTDA.</v>
          </cell>
          <cell r="J45" t="str">
            <v>AVENIDA DO CAFE</v>
          </cell>
          <cell r="K45">
            <v>277</v>
          </cell>
          <cell r="L45" t="str">
            <v>BLOCO B AN DAR 6</v>
          </cell>
          <cell r="M45" t="str">
            <v>VILA GUARANI (Z SUL)</v>
          </cell>
          <cell r="N45" t="str">
            <v>SAO PAULO</v>
          </cell>
          <cell r="O45" t="str">
            <v>SP</v>
          </cell>
          <cell r="Q45">
            <v>4311000</v>
          </cell>
          <cell r="R45">
            <v>170102220</v>
          </cell>
          <cell r="S45">
            <v>2</v>
          </cell>
          <cell r="T45">
            <v>2</v>
          </cell>
          <cell r="U45" t="str">
            <v>Analista de Risco: R$ 36.938,46 Credilink: 1092 - Tarifa:  0,3985 - Total: R$ 435,16 Emailage: 1426 - Tarifa:  0,4719 - Total: R$ 672,93 Serviço de Validação de Dados: 1037 - Tarifa:  0,3985 - Total: R$ 413,24 Antifraude: 1426 - Total: R$ 1.541,98 (Cobrança pelo mínimo mensal) Análise Manual Expressa: 717 - Tarifa: 11,2000 - Total: R$ 8.030,40 (Período de apuração: 01/08/2026 à 31/08/2026) Vencimento: 16/10/2026 Brazilian Tax Information: Valor estimado dos tributos IBS e CBS, conforme disposto no art. 12 da Lei Complementar nº 214/2025 (Reforma Tributária sobre Consumo): R$376.92 (1%)</v>
          </cell>
          <cell r="V45">
            <v>49012.42</v>
          </cell>
          <cell r="W45">
            <v>980.25</v>
          </cell>
          <cell r="X45">
            <v>735.18</v>
          </cell>
          <cell r="Y45">
            <v>318.58</v>
          </cell>
          <cell r="Z45">
            <v>1470.37</v>
          </cell>
          <cell r="AA45">
            <v>490.12</v>
          </cell>
          <cell r="AB45">
            <v>49012.42</v>
          </cell>
          <cell r="AC45">
            <v>0</v>
          </cell>
          <cell r="AD45">
            <v>0</v>
          </cell>
          <cell r="AE45" t="str">
            <v>Sim</v>
          </cell>
        </row>
        <row r="46">
          <cell r="F46">
            <v>122225</v>
          </cell>
          <cell r="G46">
            <v>236730</v>
          </cell>
          <cell r="H46">
            <v>53091203000105</v>
          </cell>
          <cell r="I46" t="str">
            <v>CASA FERNANDES MATERIAIS PARA CONSTRUCAO LTDA</v>
          </cell>
          <cell r="J46" t="str">
            <v>AVENIDA JOAO VENTURA DOS SANTOS</v>
          </cell>
          <cell r="K46">
            <v>589</v>
          </cell>
          <cell r="M46" t="str">
            <v>JD BARONEZA</v>
          </cell>
          <cell r="N46" t="str">
            <v>OSASCO</v>
          </cell>
          <cell r="O46" t="str">
            <v>SP</v>
          </cell>
          <cell r="Q46">
            <v>6260170</v>
          </cell>
          <cell r="R46">
            <v>170102220</v>
          </cell>
          <cell r="S46">
            <v>2</v>
          </cell>
          <cell r="T46">
            <v>2</v>
          </cell>
          <cell r="U46" t="str">
            <v>Antifraude: 5 - Total: R$ 140,00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v>
          </cell>
          <cell r="V46">
            <v>142.86000000000001</v>
          </cell>
          <cell r="W46">
            <v>2.86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142.86000000000001</v>
          </cell>
          <cell r="AC46">
            <v>0</v>
          </cell>
          <cell r="AD46">
            <v>0</v>
          </cell>
          <cell r="AE46" t="str">
            <v>Sim</v>
          </cell>
        </row>
        <row r="47">
          <cell r="F47">
            <v>122226</v>
          </cell>
          <cell r="G47">
            <v>236729</v>
          </cell>
          <cell r="H47">
            <v>39346861035038</v>
          </cell>
          <cell r="I47" t="str">
            <v>CENCOSUD BRASIL COMERCIAL LTDA.</v>
          </cell>
          <cell r="J47" t="str">
            <v>AVENIDA DAS NACOES UNIDAS</v>
          </cell>
          <cell r="K47">
            <v>12995</v>
          </cell>
          <cell r="L47" t="str">
            <v>ANDAR 21</v>
          </cell>
          <cell r="M47" t="str">
            <v>BROOKLIN PAULISTA</v>
          </cell>
          <cell r="N47" t="str">
            <v>SAO PAULO</v>
          </cell>
          <cell r="O47" t="str">
            <v>SP</v>
          </cell>
          <cell r="Q47">
            <v>4578000</v>
          </cell>
          <cell r="R47">
            <v>170102220</v>
          </cell>
          <cell r="S47">
            <v>2</v>
          </cell>
          <cell r="T47">
            <v>2</v>
          </cell>
          <cell r="U47" t="str">
            <v>Analista de Risco: R$ 4.375,98 Antifraude: 844 - Total: R$ 700,16 (Cobrança pelo mínimo mensal) (Período de apuração: 01/08/2026 à 31/08/2026) Vencimento: 10/11/2026 Brazilian Tax Information: Valor estimado dos tributos IBS e CBS, conforme disposto no art. 12 da Lei Complementar nº 214/2025 (Reforma Tributária sobre Consumo): R$44.65 (1%)</v>
          </cell>
          <cell r="V47">
            <v>5179.74</v>
          </cell>
          <cell r="W47">
            <v>103.59</v>
          </cell>
          <cell r="X47">
            <v>77.7</v>
          </cell>
          <cell r="Y47">
            <v>33.659999999999997</v>
          </cell>
          <cell r="Z47">
            <v>155.38999999999999</v>
          </cell>
          <cell r="AA47">
            <v>51.79</v>
          </cell>
          <cell r="AB47">
            <v>5179.74</v>
          </cell>
          <cell r="AC47">
            <v>0</v>
          </cell>
          <cell r="AD47">
            <v>0</v>
          </cell>
          <cell r="AE47" t="str">
            <v>Sim</v>
          </cell>
        </row>
        <row r="48">
          <cell r="F48">
            <v>122227</v>
          </cell>
          <cell r="G48">
            <v>236736</v>
          </cell>
          <cell r="H48">
            <v>42516278000166</v>
          </cell>
          <cell r="I48" t="str">
            <v>CENTAURO VIDA E PREVIDENCIA S/A</v>
          </cell>
          <cell r="J48" t="str">
            <v>RUA NILO CAIRO</v>
          </cell>
          <cell r="K48">
            <v>171</v>
          </cell>
          <cell r="M48" t="str">
            <v>CENTRO</v>
          </cell>
          <cell r="N48" t="str">
            <v>CURITIBA</v>
          </cell>
          <cell r="O48" t="str">
            <v>PR</v>
          </cell>
          <cell r="Q48">
            <v>80060050</v>
          </cell>
          <cell r="R48">
            <v>170102220</v>
          </cell>
          <cell r="S48">
            <v>2</v>
          </cell>
          <cell r="T48">
            <v>2</v>
          </cell>
          <cell r="U48" t="str">
            <v>Antifraude: 46 -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v>
          </cell>
          <cell r="V48">
            <v>191.84</v>
          </cell>
          <cell r="W48">
            <v>3.84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191.84</v>
          </cell>
          <cell r="AC48">
            <v>0</v>
          </cell>
          <cell r="AD48">
            <v>0</v>
          </cell>
          <cell r="AE48" t="str">
            <v>Sim</v>
          </cell>
        </row>
        <row r="49">
          <cell r="F49">
            <v>122228</v>
          </cell>
          <cell r="G49">
            <v>236738</v>
          </cell>
          <cell r="H49">
            <v>5164667000143</v>
          </cell>
          <cell r="I49" t="str">
            <v>CENTER MEGA COMERCIO DE MATERIAIS PARA CONSTRUCAO LTDA</v>
          </cell>
          <cell r="J49" t="str">
            <v>AVENIDA COMENDADOR SANT'ANNA</v>
          </cell>
          <cell r="K49">
            <v>937</v>
          </cell>
          <cell r="M49" t="str">
            <v>CAPAO REDONDO</v>
          </cell>
          <cell r="N49" t="str">
            <v>SAO PAULO</v>
          </cell>
          <cell r="O49" t="str">
            <v>SP</v>
          </cell>
          <cell r="Q49">
            <v>5866000</v>
          </cell>
          <cell r="R49">
            <v>170102220</v>
          </cell>
          <cell r="S49">
            <v>2</v>
          </cell>
          <cell r="T49">
            <v>2</v>
          </cell>
          <cell r="U49" t="str">
            <v>Antifraude: 115 - Total: R$ 346,50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v>
          </cell>
          <cell r="V49">
            <v>353.57</v>
          </cell>
          <cell r="W49">
            <v>7.07</v>
          </cell>
          <cell r="X49">
            <v>0</v>
          </cell>
          <cell r="Y49">
            <v>2.2999999999999998</v>
          </cell>
          <cell r="Z49">
            <v>10.61</v>
          </cell>
          <cell r="AA49">
            <v>3.54</v>
          </cell>
          <cell r="AB49">
            <v>353.57</v>
          </cell>
          <cell r="AC49">
            <v>0</v>
          </cell>
          <cell r="AD49">
            <v>0</v>
          </cell>
          <cell r="AE49" t="str">
            <v>Sim</v>
          </cell>
        </row>
        <row r="50">
          <cell r="F50">
            <v>122229</v>
          </cell>
          <cell r="G50">
            <v>236735</v>
          </cell>
          <cell r="H50">
            <v>6967098000137</v>
          </cell>
          <cell r="I50" t="str">
            <v>CESCONETTO ATACADO DE PAPEIS LTDA</v>
          </cell>
          <cell r="J50" t="str">
            <v>RODOVIA GOVERNADOR MARIO COVAS</v>
          </cell>
          <cell r="K50" t="str">
            <v>S/Nº</v>
          </cell>
          <cell r="L50" t="str">
            <v>KM 266.56</v>
          </cell>
          <cell r="M50" t="str">
            <v>PLANALTO DE CARAPINA</v>
          </cell>
          <cell r="N50" t="str">
            <v>SERRA</v>
          </cell>
          <cell r="O50" t="str">
            <v>ES</v>
          </cell>
          <cell r="Q50">
            <v>29162703</v>
          </cell>
          <cell r="R50">
            <v>170102220</v>
          </cell>
          <cell r="S50">
            <v>2</v>
          </cell>
          <cell r="T50">
            <v>2</v>
          </cell>
          <cell r="U50" t="str">
            <v>Antifraude: 13 - Total: R$ 162,48 (Cobrança pelo mínimo mensal) Análise Manual Expressa: 2 - Tarifa: 8,3800 - Total: R$ 16,76 (Período de apuração: 01/08/2026 à 31/08/2026) Vencimento: 26/09/2026 Brazilian Tax Information: Valor estimado dos tributos IBS e CBS, conforme disposto no art. 12 da Lei Complementar nº 214/2025 (Reforma Tributária sobre Consumo): R$1.66 (1%)</v>
          </cell>
          <cell r="V50">
            <v>182.9</v>
          </cell>
          <cell r="W50">
            <v>3.66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182.9</v>
          </cell>
          <cell r="AC50">
            <v>0</v>
          </cell>
          <cell r="AD50">
            <v>0</v>
          </cell>
          <cell r="AE50" t="str">
            <v>Sim</v>
          </cell>
        </row>
        <row r="51">
          <cell r="F51">
            <v>122230</v>
          </cell>
          <cell r="G51">
            <v>236727</v>
          </cell>
          <cell r="H51">
            <v>779721000141</v>
          </cell>
          <cell r="I51" t="str">
            <v>CINEMARK BRASIL S.A.</v>
          </cell>
          <cell r="J51" t="str">
            <v>AVENIDA DOUTOR CHUCRI ZAIDAN</v>
          </cell>
          <cell r="K51">
            <v>920</v>
          </cell>
          <cell r="L51" t="str">
            <v>: 15 ANDAR  : MARKE</v>
          </cell>
          <cell r="M51" t="str">
            <v>VILA CORDEIRO</v>
          </cell>
          <cell r="N51" t="str">
            <v>SAO PAULO</v>
          </cell>
          <cell r="O51" t="str">
            <v>SP</v>
          </cell>
          <cell r="Q51">
            <v>4583904</v>
          </cell>
          <cell r="R51">
            <v>170102220</v>
          </cell>
          <cell r="S51">
            <v>2</v>
          </cell>
          <cell r="T51">
            <v>2</v>
          </cell>
          <cell r="U51" t="str">
            <v>Analista de Risco: R$ 4.583,30 Emailage: 95068 - Tarifa:  0,2246 - Total: R$ 21.352,27 Antifraude: 312714 - Tarifa:  0,2622 - Total: R$ 81.993,61 (Período de apuração: 01/08/2026 à 31/08/2026) Vencimento: 11/10/2026 Brazilian Tax Information: Valor estimado dos tributos IBS e CBS, conforme disposto no art. 12 da Lei Complementar nº 214/2025 (Reforma Tributária sobre Consumo): R$46.77 (1%)</v>
          </cell>
          <cell r="V51">
            <v>110131.82</v>
          </cell>
          <cell r="W51">
            <v>2202.64</v>
          </cell>
          <cell r="X51">
            <v>1651.97</v>
          </cell>
          <cell r="Y51">
            <v>715.86</v>
          </cell>
          <cell r="Z51">
            <v>3303.96</v>
          </cell>
          <cell r="AA51">
            <v>1101.32</v>
          </cell>
          <cell r="AB51">
            <v>110131.82</v>
          </cell>
          <cell r="AC51">
            <v>0</v>
          </cell>
          <cell r="AD51">
            <v>0</v>
          </cell>
          <cell r="AE51" t="str">
            <v>Sim</v>
          </cell>
        </row>
        <row r="52">
          <cell r="F52">
            <v>122231</v>
          </cell>
          <cell r="G52">
            <v>236741</v>
          </cell>
          <cell r="H52">
            <v>20215683000101</v>
          </cell>
          <cell r="I52" t="str">
            <v>CLICK DIGITAL SOLUTIONS LTDA</v>
          </cell>
          <cell r="J52" t="str">
            <v>RUA ERICO VERISSIMO</v>
          </cell>
          <cell r="K52">
            <v>789</v>
          </cell>
          <cell r="M52" t="str">
            <v>SAO JOAO BATISTA</v>
          </cell>
          <cell r="N52" t="str">
            <v>BELO HORIZONTE</v>
          </cell>
          <cell r="O52" t="str">
            <v>MG</v>
          </cell>
          <cell r="Q52">
            <v>31520095</v>
          </cell>
          <cell r="R52">
            <v>170102220</v>
          </cell>
          <cell r="S52">
            <v>2</v>
          </cell>
          <cell r="T52">
            <v>2</v>
          </cell>
          <cell r="U52" t="str">
            <v>Antifraude: 1 - Total: R$ 6.700,00 (Cobrança pelo mínimo mensal) (Período de apuração: 01/08/2026 à 31/08/2026) Vencimento: 26/09/2026 Brazilian Tax Information: Valor estimado dos tributos IBS e CBS, conforme disposto no art. 12 da Lei Complementar nº 214/2025 (Reforma Tributária sobre Consumo): R$68.37 (1%)</v>
          </cell>
          <cell r="V52">
            <v>6836.74</v>
          </cell>
          <cell r="W52">
            <v>136.72999999999999</v>
          </cell>
          <cell r="X52">
            <v>102.55</v>
          </cell>
          <cell r="Y52">
            <v>44.44</v>
          </cell>
          <cell r="Z52">
            <v>205.1</v>
          </cell>
          <cell r="AA52">
            <v>68.37</v>
          </cell>
          <cell r="AB52">
            <v>6836.74</v>
          </cell>
          <cell r="AC52">
            <v>0</v>
          </cell>
          <cell r="AD52">
            <v>0</v>
          </cell>
          <cell r="AE52" t="str">
            <v>Sim</v>
          </cell>
        </row>
        <row r="53">
          <cell r="F53">
            <v>122232</v>
          </cell>
          <cell r="G53">
            <v>236739</v>
          </cell>
          <cell r="H53">
            <v>718661000157</v>
          </cell>
          <cell r="I53" t="str">
            <v>COMPENSADOS FERNANDES S.A.</v>
          </cell>
          <cell r="J53" t="str">
            <v>AVENIDA CAETANO SILVEIRA</v>
          </cell>
          <cell r="K53">
            <v>901</v>
          </cell>
          <cell r="M53" t="str">
            <v>JARDIM ELDORADO</v>
          </cell>
          <cell r="N53" t="str">
            <v>PALHOCA</v>
          </cell>
          <cell r="O53" t="str">
            <v>SC</v>
          </cell>
          <cell r="Q53">
            <v>88133520</v>
          </cell>
          <cell r="R53">
            <v>170102220</v>
          </cell>
          <cell r="S53">
            <v>2</v>
          </cell>
          <cell r="T53">
            <v>2</v>
          </cell>
          <cell r="U53" t="str">
            <v>Antifraude: 18 - Total: R$ 129,44 (Cobrança pelo mínimo mensal) Análise Manual Expressa: 3 - Tarifa: 20,0800 - Total: R$ 60,24 (Período de apuração: 01/08/2026 à 31/08/2026) Vencimento: 26/09/2026 Brazilian Tax Information: Valor estimado dos tributos IBS e CBS, conforme disposto no art. 12 da Lei Complementar nº 214/2025 (Reforma Tributária sobre Consumo): R$1.32 (1%)</v>
          </cell>
          <cell r="V53">
            <v>193.55</v>
          </cell>
          <cell r="W53">
            <v>3.87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193.55</v>
          </cell>
          <cell r="AC53">
            <v>0</v>
          </cell>
          <cell r="AD53">
            <v>0</v>
          </cell>
          <cell r="AE53" t="str">
            <v>Sim</v>
          </cell>
        </row>
        <row r="54">
          <cell r="F54">
            <v>122233</v>
          </cell>
          <cell r="G54">
            <v>236743</v>
          </cell>
          <cell r="H54">
            <v>27243932000111</v>
          </cell>
          <cell r="I54" t="str">
            <v>CONECTA FIDELIDADE LTDA</v>
          </cell>
          <cell r="J54" t="str">
            <v>PRACA DOM JOSE GASPAR</v>
          </cell>
          <cell r="K54">
            <v>134</v>
          </cell>
          <cell r="L54" t="str">
            <v>ANDAR 5 CO NJ 51 SAL</v>
          </cell>
          <cell r="M54" t="str">
            <v>REPUBLICA</v>
          </cell>
          <cell r="N54" t="str">
            <v>SAO PAULO</v>
          </cell>
          <cell r="O54" t="str">
            <v>SP</v>
          </cell>
          <cell r="Q54">
            <v>1047010</v>
          </cell>
          <cell r="R54">
            <v>170102220</v>
          </cell>
          <cell r="S54">
            <v>2</v>
          </cell>
          <cell r="T54">
            <v>2</v>
          </cell>
          <cell r="U54" t="str">
            <v>Antifraude: 57 -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v>
          </cell>
          <cell r="V54">
            <v>173.47</v>
          </cell>
          <cell r="W54">
            <v>3.47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173.47</v>
          </cell>
          <cell r="AC54">
            <v>0</v>
          </cell>
          <cell r="AD54">
            <v>0</v>
          </cell>
          <cell r="AE54" t="str">
            <v>Sim</v>
          </cell>
        </row>
        <row r="55">
          <cell r="F55">
            <v>122234</v>
          </cell>
          <cell r="G55">
            <v>236744</v>
          </cell>
          <cell r="H55">
            <v>91982496000100</v>
          </cell>
          <cell r="I55" t="str">
            <v>COTRIPAL AGROPECUARIA COOPERATIVA</v>
          </cell>
          <cell r="J55" t="str">
            <v>RUA HERRMANN MEYER</v>
          </cell>
          <cell r="K55">
            <v>237</v>
          </cell>
          <cell r="M55" t="str">
            <v>CENTRO</v>
          </cell>
          <cell r="N55" t="str">
            <v>PANAMBI</v>
          </cell>
          <cell r="O55" t="str">
            <v>RS</v>
          </cell>
          <cell r="Q55">
            <v>98280000</v>
          </cell>
          <cell r="R55">
            <v>170102220</v>
          </cell>
          <cell r="S55">
            <v>2</v>
          </cell>
          <cell r="T55">
            <v>2</v>
          </cell>
          <cell r="U55" t="str">
            <v>Antifraude: 5 - Total: R$ 234,97 (Cobrança pelo mínimo mensal) (Período de apuração: 01/08/2026 à 31/08/2026) Vencimento: 26/09/2026 Brazilian Tax Information: Valor estimado dos tributos IBS e CBS, conforme disposto no art. 12 da Lei Complementar nº 214/2025 (Reforma Tributária sobre Consumo): R$2.40 (1%)</v>
          </cell>
          <cell r="V55">
            <v>239.77</v>
          </cell>
          <cell r="W55">
            <v>4.8</v>
          </cell>
          <cell r="X55">
            <v>0</v>
          </cell>
          <cell r="Y55">
            <v>1.56</v>
          </cell>
          <cell r="Z55">
            <v>7.19</v>
          </cell>
          <cell r="AA55">
            <v>2.4</v>
          </cell>
          <cell r="AB55">
            <v>239.77</v>
          </cell>
          <cell r="AC55">
            <v>0</v>
          </cell>
          <cell r="AD55">
            <v>0</v>
          </cell>
          <cell r="AE55" t="str">
            <v>Sim</v>
          </cell>
        </row>
        <row r="56">
          <cell r="F56">
            <v>122235</v>
          </cell>
          <cell r="G56">
            <v>236726</v>
          </cell>
          <cell r="H56">
            <v>4429764000158</v>
          </cell>
          <cell r="I56" t="str">
            <v>CURUPY ACQUA PARK HOTEL LTDA</v>
          </cell>
          <cell r="J56" t="str">
            <v>ESTRADA ADALGISA</v>
          </cell>
          <cell r="K56" t="str">
            <v>181 A</v>
          </cell>
          <cell r="L56" t="str">
            <v>CHACARA 18 1-A/181</v>
          </cell>
          <cell r="M56" t="str">
            <v>BAIRRO DE CHACARAS SINOP</v>
          </cell>
          <cell r="N56" t="str">
            <v>SINOP</v>
          </cell>
          <cell r="O56" t="str">
            <v>MT</v>
          </cell>
          <cell r="Q56">
            <v>78559899</v>
          </cell>
          <cell r="R56">
            <v>170102220</v>
          </cell>
          <cell r="S56">
            <v>2</v>
          </cell>
          <cell r="T56">
            <v>2</v>
          </cell>
          <cell r="U56" t="str">
            <v>Antifraude: 329 - Tarifa:  0,8234 - Total: R$ 270,90 Análise Manual Expressa: 55 - Tarifa: 10,6800 - Total: R$ 587,40 (Período de apuração: 01/08/2026 à 31/08/2026) Vencimento: 26/09/2026 Brazilian Tax Information: Valor estimado dos tributos IBS e CBS, conforme disposto no art. 12 da Lei Complementar nº 214/2025 (Reforma Tributária sobre Consumo): R$2.76 (1%)</v>
          </cell>
          <cell r="V56">
            <v>875.82</v>
          </cell>
          <cell r="W56">
            <v>17.52</v>
          </cell>
          <cell r="X56">
            <v>13.14</v>
          </cell>
          <cell r="Y56">
            <v>5.7</v>
          </cell>
          <cell r="Z56">
            <v>26.27</v>
          </cell>
          <cell r="AA56">
            <v>8.75</v>
          </cell>
          <cell r="AB56">
            <v>875.82</v>
          </cell>
          <cell r="AC56">
            <v>0</v>
          </cell>
          <cell r="AD56">
            <v>0</v>
          </cell>
          <cell r="AE56" t="str">
            <v>Sim</v>
          </cell>
        </row>
        <row r="57">
          <cell r="F57">
            <v>122236</v>
          </cell>
          <cell r="G57">
            <v>236740</v>
          </cell>
          <cell r="H57">
            <v>32804472000193</v>
          </cell>
          <cell r="I57" t="str">
            <v>DAGER COMERCIO ATACADISTA DE EMBALAGENS E ALIMENTOS LTDA</v>
          </cell>
          <cell r="J57" t="str">
            <v>RUA CHARLES DICKENS</v>
          </cell>
          <cell r="K57">
            <v>246</v>
          </cell>
          <cell r="L57" t="str">
            <v>LOT 44 LTM 11317 QDR</v>
          </cell>
          <cell r="M57" t="str">
            <v>CAMPO GRANDE</v>
          </cell>
          <cell r="N57" t="str">
            <v>RIO DE JANEIRO</v>
          </cell>
          <cell r="O57" t="str">
            <v>RJ</v>
          </cell>
          <cell r="Q57">
            <v>23085680</v>
          </cell>
          <cell r="R57">
            <v>170102220</v>
          </cell>
          <cell r="S57">
            <v>2</v>
          </cell>
          <cell r="T57">
            <v>2</v>
          </cell>
          <cell r="U57" t="str">
            <v>Analista de Risco: R$ 4.199,00 Antifraude: 66 -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R$42.85 (1%)</v>
          </cell>
          <cell r="V57">
            <v>5509.18</v>
          </cell>
          <cell r="W57">
            <v>110.18</v>
          </cell>
          <cell r="X57">
            <v>82.64</v>
          </cell>
          <cell r="Y57">
            <v>35.81</v>
          </cell>
          <cell r="Z57">
            <v>165.27</v>
          </cell>
          <cell r="AA57">
            <v>55.09</v>
          </cell>
          <cell r="AB57">
            <v>5509.18</v>
          </cell>
          <cell r="AC57">
            <v>0</v>
          </cell>
          <cell r="AD57">
            <v>0</v>
          </cell>
          <cell r="AE57" t="str">
            <v>Sim</v>
          </cell>
        </row>
        <row r="58">
          <cell r="F58">
            <v>122237</v>
          </cell>
          <cell r="G58">
            <v>236728</v>
          </cell>
          <cell r="H58">
            <v>61486650000183</v>
          </cell>
          <cell r="I58" t="str">
            <v>DIAGNOSTICOS DA AMERICA S.A .</v>
          </cell>
          <cell r="J58" t="str">
            <v>AVENIDA JURUA</v>
          </cell>
          <cell r="K58">
            <v>434</v>
          </cell>
          <cell r="M58" t="str">
            <v>ALPHAVILLE</v>
          </cell>
          <cell r="N58" t="str">
            <v>BARUERI</v>
          </cell>
          <cell r="O58" t="str">
            <v>SP</v>
          </cell>
          <cell r="Q58">
            <v>6455010</v>
          </cell>
          <cell r="R58">
            <v>170102220</v>
          </cell>
          <cell r="S58">
            <v>2</v>
          </cell>
          <cell r="T58">
            <v>2</v>
          </cell>
          <cell r="U58" t="str">
            <v>Analista de Risco: R$ 5.182,76 Antifraude: 960 - Total: R$ 551,01 (Cobrança pelo mínimo mensal) Análise Manual Expressa: 72 - Tarifa: 10,0000 - Total: R$ 720,00 (Período de apuração: 01/08/2026 à 31/08/2026) Vencimento: 11/10/2026 Brazilian Tax Information: Valor estimado dos tributos IBS e CBS, conforme disposto no art. 12 da Lei Complementar nº 214/2025 (Reforma Tributária sobre Consumo): R$52.89 (1%)</v>
          </cell>
          <cell r="V58">
            <v>6585.47</v>
          </cell>
          <cell r="W58">
            <v>131.71</v>
          </cell>
          <cell r="X58">
            <v>98.78</v>
          </cell>
          <cell r="Y58">
            <v>42.81</v>
          </cell>
          <cell r="Z58">
            <v>197.57</v>
          </cell>
          <cell r="AA58">
            <v>65.86</v>
          </cell>
          <cell r="AB58">
            <v>6585.47</v>
          </cell>
          <cell r="AC58">
            <v>0</v>
          </cell>
          <cell r="AD58">
            <v>0</v>
          </cell>
          <cell r="AE58" t="str">
            <v>Sim</v>
          </cell>
        </row>
        <row r="59">
          <cell r="F59">
            <v>122238</v>
          </cell>
          <cell r="G59">
            <v>236742</v>
          </cell>
          <cell r="H59">
            <v>22932699000160</v>
          </cell>
          <cell r="I59" t="str">
            <v>DFS HOLDING S.A.</v>
          </cell>
          <cell r="J59" t="str">
            <v>AVENIDA BRIG FARIA LIMA</v>
          </cell>
          <cell r="K59">
            <v>3477</v>
          </cell>
          <cell r="L59" t="str">
            <v>ANDAR 8 ED IF PATIO</v>
          </cell>
          <cell r="M59" t="str">
            <v>ITAIM BIBI</v>
          </cell>
          <cell r="N59" t="str">
            <v>SAO PAULO</v>
          </cell>
          <cell r="O59" t="str">
            <v>SP</v>
          </cell>
          <cell r="Q59">
            <v>4538133</v>
          </cell>
          <cell r="R59">
            <v>170102220</v>
          </cell>
          <cell r="S59">
            <v>2</v>
          </cell>
          <cell r="T59">
            <v>2</v>
          </cell>
          <cell r="U59" t="str">
            <v>Analista de Risco: R$ 3.915,55 Antifraude: 2385 - Total: R$ 1.709,61 (Cobrança pelo mínimo mensal) Análise Manual Expressa: 173 - Tarifa: 9,9800 - Total: R$ 1.726,54 (Período de apuração: 01/08/2026 à 31/08/2026) Vencimento: 26/09/2026 Brazilian Tax Information: Valor estimado dos tributos IBS e CBS, conforme disposto no art. 12 da Lei Complementar nº 214/2025 (Reforma Tributária sobre Consumo): R$39.95 (1%)</v>
          </cell>
          <cell r="V59">
            <v>7501.74</v>
          </cell>
          <cell r="W59">
            <v>150.03</v>
          </cell>
          <cell r="X59">
            <v>112.53</v>
          </cell>
          <cell r="Y59">
            <v>48.76</v>
          </cell>
          <cell r="Z59">
            <v>225.05</v>
          </cell>
          <cell r="AA59">
            <v>75.02</v>
          </cell>
          <cell r="AB59">
            <v>7501.74</v>
          </cell>
          <cell r="AC59">
            <v>0</v>
          </cell>
          <cell r="AD59">
            <v>0</v>
          </cell>
          <cell r="AE59" t="str">
            <v>Sim</v>
          </cell>
        </row>
        <row r="60">
          <cell r="F60">
            <v>122239</v>
          </cell>
          <cell r="G60">
            <v>236733</v>
          </cell>
          <cell r="H60">
            <v>24166332000109</v>
          </cell>
          <cell r="I60" t="str">
            <v>DENTAL MACEIO LTDA</v>
          </cell>
          <cell r="J60" t="str">
            <v>AVENIDA MOREIRA E SILVA</v>
          </cell>
          <cell r="K60">
            <v>374</v>
          </cell>
          <cell r="M60" t="str">
            <v>FAROL</v>
          </cell>
          <cell r="N60" t="str">
            <v>MACEIO</v>
          </cell>
          <cell r="O60" t="str">
            <v>AL</v>
          </cell>
          <cell r="Q60">
            <v>57051500</v>
          </cell>
          <cell r="R60">
            <v>170102220</v>
          </cell>
          <cell r="S60">
            <v>2</v>
          </cell>
          <cell r="T60">
            <v>2</v>
          </cell>
          <cell r="U60" t="str">
            <v>Antifraude: 12 - Total: R$ 147,29 (Cobrança pelo mínimo mensal) (Período de apuração: 01/08/2026 à 31/08/2026) Vencimento: 26/09/2026 Brazilian Tax Information: Valor estimado dos tributos IBS e CBS, conforme disposto no art. 12 da Lei Complementar nº 214/2025 (Reforma Tributária sobre Consumo): R$1.50 (1%)</v>
          </cell>
          <cell r="V60">
            <v>150.30000000000001</v>
          </cell>
          <cell r="W60">
            <v>3.01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150.30000000000001</v>
          </cell>
          <cell r="AC60">
            <v>0</v>
          </cell>
          <cell r="AD60">
            <v>0</v>
          </cell>
          <cell r="AE60" t="str">
            <v>Sim</v>
          </cell>
        </row>
        <row r="61">
          <cell r="F61">
            <v>122240</v>
          </cell>
          <cell r="G61">
            <v>236746</v>
          </cell>
          <cell r="H61">
            <v>8332122000197</v>
          </cell>
          <cell r="I61" t="str">
            <v>DENTAL RUBI COMERCIO DE PRODUTOS ODONTOLOGICOS LTDA</v>
          </cell>
          <cell r="J61" t="str">
            <v>AVENIDA ANTONIO CARLOS MAGALHAES</v>
          </cell>
          <cell r="K61">
            <v>34</v>
          </cell>
          <cell r="L61" t="str">
            <v>EDIF SERVI CENTER LO</v>
          </cell>
          <cell r="M61" t="str">
            <v>PITUBA</v>
          </cell>
          <cell r="N61" t="str">
            <v>SALVADOR</v>
          </cell>
          <cell r="O61" t="str">
            <v>BA</v>
          </cell>
          <cell r="Q61">
            <v>41800700</v>
          </cell>
          <cell r="R61">
            <v>170102220</v>
          </cell>
          <cell r="S61">
            <v>2</v>
          </cell>
          <cell r="T61">
            <v>2</v>
          </cell>
          <cell r="U61" t="str">
            <v>Antifraude: 7 - Total: R$ 138,00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v>
          </cell>
          <cell r="V61">
            <v>140.82</v>
          </cell>
          <cell r="W61">
            <v>2.82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140.82</v>
          </cell>
          <cell r="AC61">
            <v>0</v>
          </cell>
          <cell r="AD61">
            <v>0</v>
          </cell>
          <cell r="AE61" t="str">
            <v>Sim</v>
          </cell>
        </row>
        <row r="62">
          <cell r="F62">
            <v>122241</v>
          </cell>
          <cell r="G62">
            <v>236731</v>
          </cell>
          <cell r="H62">
            <v>12792928000135</v>
          </cell>
          <cell r="I62" t="str">
            <v>DJ COMERCIO DE INSTRUMENTOS MUSICAIS LTDA</v>
          </cell>
          <cell r="J62" t="str">
            <v>RUA MATHEUS GIULIATTI</v>
          </cell>
          <cell r="K62">
            <v>45</v>
          </cell>
          <cell r="M62" t="str">
            <v>SAO BENTO</v>
          </cell>
          <cell r="N62" t="str">
            <v>BENTO GONCALVES</v>
          </cell>
          <cell r="O62" t="str">
            <v>RS</v>
          </cell>
          <cell r="Q62">
            <v>95703122</v>
          </cell>
          <cell r="R62">
            <v>170102220</v>
          </cell>
          <cell r="S62">
            <v>2</v>
          </cell>
          <cell r="T62">
            <v>2</v>
          </cell>
          <cell r="U62" t="str">
            <v>Antifraude: 2 -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v>
          </cell>
          <cell r="V62">
            <v>206.39</v>
          </cell>
          <cell r="W62">
            <v>4.13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206.39</v>
          </cell>
          <cell r="AC62">
            <v>0</v>
          </cell>
          <cell r="AD62">
            <v>0</v>
          </cell>
          <cell r="AE62" t="str">
            <v>Sim</v>
          </cell>
        </row>
        <row r="63">
          <cell r="F63">
            <v>122242</v>
          </cell>
          <cell r="G63">
            <v>236745</v>
          </cell>
          <cell r="H63">
            <v>52133813000153</v>
          </cell>
          <cell r="I63" t="str">
            <v>DOURAVITA SUPLEMENTOS LTDA</v>
          </cell>
          <cell r="J63" t="str">
            <v>AVENIDA NATALINO JOAO BRESCANSIN</v>
          </cell>
          <cell r="K63">
            <v>1030</v>
          </cell>
          <cell r="L63" t="str">
            <v>FUNDOS</v>
          </cell>
          <cell r="M63" t="str">
            <v>CENTRO-SUL</v>
          </cell>
          <cell r="N63" t="str">
            <v>SORRISO</v>
          </cell>
          <cell r="O63" t="str">
            <v>MT</v>
          </cell>
          <cell r="Q63">
            <v>78896016</v>
          </cell>
          <cell r="R63">
            <v>170102220</v>
          </cell>
          <cell r="S63">
            <v>2</v>
          </cell>
          <cell r="T63">
            <v>2</v>
          </cell>
          <cell r="U63" t="str">
            <v>Antifraude: 7 - Total: R$ 198,00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63">
            <v>226.51</v>
          </cell>
          <cell r="W63">
            <v>4.53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226.51</v>
          </cell>
          <cell r="AC63">
            <v>0</v>
          </cell>
          <cell r="AD63">
            <v>0</v>
          </cell>
          <cell r="AE63" t="str">
            <v>Sim</v>
          </cell>
        </row>
        <row r="64">
          <cell r="F64">
            <v>122243</v>
          </cell>
          <cell r="G64">
            <v>236724</v>
          </cell>
          <cell r="H64">
            <v>54375647006672</v>
          </cell>
          <cell r="I64" t="str">
            <v>DROGAL FARMACEUTICA LTDA</v>
          </cell>
          <cell r="J64" t="str">
            <v>RUA SAO JOAO</v>
          </cell>
          <cell r="K64">
            <v>909</v>
          </cell>
          <cell r="M64" t="str">
            <v>ALTO</v>
          </cell>
          <cell r="N64" t="str">
            <v>PIRACICABA</v>
          </cell>
          <cell r="O64" t="str">
            <v>SP</v>
          </cell>
          <cell r="Q64">
            <v>13416585</v>
          </cell>
          <cell r="R64">
            <v>170102220</v>
          </cell>
          <cell r="S64">
            <v>2</v>
          </cell>
          <cell r="T64">
            <v>2</v>
          </cell>
          <cell r="U64" t="str">
            <v>Analista de Risco: R$ 0,01 Credilink: 119119 - Tarifa:  0,5030 - Total: R$ 59.916,86 Emailage: 122036 - Tarifa:  0,5030 - Total: R$ 61.384,11 Antifraude: 122052 - Tarifa:  0,5659 - Total: R$ 69.069,23 Análise Manual Expressa: 29 - Tarifa: 12,2000 - Total: R$ 353,80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64">
            <v>194616.34</v>
          </cell>
          <cell r="W64">
            <v>3892.33</v>
          </cell>
          <cell r="X64">
            <v>2919.24</v>
          </cell>
          <cell r="Y64">
            <v>1265.01</v>
          </cell>
          <cell r="Z64">
            <v>5838.49</v>
          </cell>
          <cell r="AA64">
            <v>1946.17</v>
          </cell>
          <cell r="AB64">
            <v>194616.34</v>
          </cell>
          <cell r="AC64">
            <v>0</v>
          </cell>
          <cell r="AD64">
            <v>0</v>
          </cell>
          <cell r="AE64" t="str">
            <v>Sim</v>
          </cell>
        </row>
        <row r="65">
          <cell r="F65">
            <v>122244</v>
          </cell>
          <cell r="G65">
            <v>236757</v>
          </cell>
          <cell r="H65">
            <v>18580601000186</v>
          </cell>
          <cell r="I65" t="str">
            <v>ECCO BARI CONFECCOES SOB MEDIDA LTDA.</v>
          </cell>
          <cell r="J65" t="str">
            <v>RUA JOAO LOURENCO</v>
          </cell>
          <cell r="K65">
            <v>488</v>
          </cell>
          <cell r="L65" t="str">
            <v>A</v>
          </cell>
          <cell r="M65" t="str">
            <v>VILA NOVA CONCEICAO</v>
          </cell>
          <cell r="N65" t="str">
            <v>SAO PAULO</v>
          </cell>
          <cell r="O65" t="str">
            <v>SP</v>
          </cell>
          <cell r="Q65">
            <v>4508030</v>
          </cell>
          <cell r="R65">
            <v>170102220</v>
          </cell>
          <cell r="S65">
            <v>2</v>
          </cell>
          <cell r="T65">
            <v>2</v>
          </cell>
          <cell r="U65" t="str">
            <v>Antifraude: 3 - Total: R$ 202,26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R$2.06 (1%)</v>
          </cell>
          <cell r="V65">
            <v>230.86</v>
          </cell>
          <cell r="W65">
            <v>4.62</v>
          </cell>
          <cell r="X65">
            <v>0</v>
          </cell>
          <cell r="Y65">
            <v>1.5</v>
          </cell>
          <cell r="Z65">
            <v>6.92</v>
          </cell>
          <cell r="AA65">
            <v>2.2999999999999998</v>
          </cell>
          <cell r="AB65">
            <v>230.86</v>
          </cell>
          <cell r="AC65">
            <v>0</v>
          </cell>
          <cell r="AD65">
            <v>0</v>
          </cell>
          <cell r="AE65" t="str">
            <v>Sim</v>
          </cell>
        </row>
        <row r="66">
          <cell r="F66">
            <v>122245</v>
          </cell>
          <cell r="G66">
            <v>236762</v>
          </cell>
          <cell r="H66">
            <v>61186490000157</v>
          </cell>
          <cell r="I66" t="str">
            <v>EDITORA FTD S A</v>
          </cell>
          <cell r="J66" t="str">
            <v>RUA RUI BARBOSA</v>
          </cell>
          <cell r="K66">
            <v>156</v>
          </cell>
          <cell r="M66" t="str">
            <v>BELA VISTA</v>
          </cell>
          <cell r="N66" t="str">
            <v>SAO PAULO</v>
          </cell>
          <cell r="O66" t="str">
            <v>SP</v>
          </cell>
          <cell r="Q66">
            <v>1326010</v>
          </cell>
          <cell r="R66">
            <v>170102220</v>
          </cell>
          <cell r="S66">
            <v>2</v>
          </cell>
          <cell r="T66">
            <v>2</v>
          </cell>
          <cell r="U66" t="str">
            <v>Analista de Risco: R$ 19.085,29 Credilink: 812 - Tarifa:  0,4241 - Total: R$ 344,37 Emailage: 835 - Tarifa:  0,5089 - Total: R$ 424,93 Antifraude: 840 - Total: R$ 630,13 (Cobrança pelo mínimo mensal) (Período de apuração: 01/08/2026 à 31/08/2026) Vencimento: 10/12/2026 Brazilian Tax Information: Valor estimado dos tributos IBS e CBS, conforme disposto no art. 12 da Lei Complementar nº 214/2025 (Reforma Tributária sobre Consumo): R$194.75 (1%)</v>
          </cell>
          <cell r="V66">
            <v>20902.78</v>
          </cell>
          <cell r="W66">
            <v>418.06</v>
          </cell>
          <cell r="X66">
            <v>313.52999999999997</v>
          </cell>
          <cell r="Y66">
            <v>135.87</v>
          </cell>
          <cell r="Z66">
            <v>627.08000000000004</v>
          </cell>
          <cell r="AA66">
            <v>209.03</v>
          </cell>
          <cell r="AB66">
            <v>20902.78</v>
          </cell>
          <cell r="AC66">
            <v>0</v>
          </cell>
          <cell r="AD66">
            <v>0</v>
          </cell>
          <cell r="AE66" t="str">
            <v>Sim</v>
          </cell>
        </row>
        <row r="67">
          <cell r="F67">
            <v>122246</v>
          </cell>
          <cell r="G67">
            <v>236758</v>
          </cell>
          <cell r="H67">
            <v>2771903000100</v>
          </cell>
          <cell r="I67" t="str">
            <v>BRASILPLAST EMBALAGENS E DESCARTAVEIS LTDA</v>
          </cell>
          <cell r="J67" t="str">
            <v>RUA AVELINO HILARIO MUNIZ</v>
          </cell>
          <cell r="K67">
            <v>699</v>
          </cell>
          <cell r="L67" t="str">
            <v>GALPAO2 E 3</v>
          </cell>
          <cell r="M67" t="str">
            <v>NOSSA SENHORA DA CONCEICAO</v>
          </cell>
          <cell r="N67" t="str">
            <v>CONTAGEM</v>
          </cell>
          <cell r="O67" t="str">
            <v>MG</v>
          </cell>
          <cell r="Q67">
            <v>32183455</v>
          </cell>
          <cell r="R67">
            <v>170102220</v>
          </cell>
          <cell r="S67">
            <v>2</v>
          </cell>
          <cell r="T67">
            <v>2</v>
          </cell>
          <cell r="U67" t="str">
            <v>Antifraude: 38 - Total: R$ 168,00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v>
          </cell>
          <cell r="V67">
            <v>171.43</v>
          </cell>
          <cell r="W67">
            <v>3.43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171.43</v>
          </cell>
          <cell r="AC67">
            <v>0</v>
          </cell>
          <cell r="AD67">
            <v>0</v>
          </cell>
          <cell r="AE67" t="str">
            <v>Sim</v>
          </cell>
        </row>
        <row r="68">
          <cell r="F68">
            <v>122247</v>
          </cell>
          <cell r="G68">
            <v>236749</v>
          </cell>
          <cell r="H68">
            <v>27887833000334</v>
          </cell>
          <cell r="I68" t="str">
            <v>ENJOY ADMINISTRADORA DE HOTEIS E RESORTS LTDA</v>
          </cell>
          <cell r="J68" t="str">
            <v>AVENIDA CAMINHO DO SOL</v>
          </cell>
          <cell r="K68">
            <v>650</v>
          </cell>
          <cell r="M68" t="str">
            <v>PARQUE DO SOL</v>
          </cell>
          <cell r="N68" t="str">
            <v>OLIMPIA</v>
          </cell>
          <cell r="O68" t="str">
            <v>SP</v>
          </cell>
          <cell r="Q68">
            <v>15405430</v>
          </cell>
          <cell r="R68">
            <v>170102220</v>
          </cell>
          <cell r="S68">
            <v>2</v>
          </cell>
          <cell r="T68">
            <v>2</v>
          </cell>
          <cell r="U68" t="str">
            <v>Antifraude: 122 -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v>
          </cell>
          <cell r="V68">
            <v>191.84</v>
          </cell>
          <cell r="W68">
            <v>3.84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191.84</v>
          </cell>
          <cell r="AC68">
            <v>0</v>
          </cell>
          <cell r="AD68">
            <v>0</v>
          </cell>
          <cell r="AE68" t="str">
            <v>Sim</v>
          </cell>
        </row>
        <row r="69">
          <cell r="F69">
            <v>122248</v>
          </cell>
          <cell r="G69">
            <v>236759</v>
          </cell>
          <cell r="H69">
            <v>25382893000108</v>
          </cell>
          <cell r="I69" t="str">
            <v>E-PECA DESENVOLVIMENTO DE SISTEMASLTDA</v>
          </cell>
          <cell r="J69" t="str">
            <v>AVENIDA JOSE MARIA WHITAKER</v>
          </cell>
          <cell r="K69">
            <v>603</v>
          </cell>
          <cell r="L69" t="str">
            <v>SALA 01</v>
          </cell>
          <cell r="M69" t="str">
            <v>PLANALTO PAULISTA</v>
          </cell>
          <cell r="N69" t="str">
            <v>SAO PAULO</v>
          </cell>
          <cell r="O69" t="str">
            <v>SP</v>
          </cell>
          <cell r="Q69">
            <v>4057900</v>
          </cell>
          <cell r="R69">
            <v>170102220</v>
          </cell>
          <cell r="S69">
            <v>2</v>
          </cell>
          <cell r="T69">
            <v>2</v>
          </cell>
          <cell r="U69" t="str">
            <v>Analista de Risco: R$ 3.500,00 Antifraude: 28 -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R$35.71 (1%)</v>
          </cell>
          <cell r="V69">
            <v>3744.9</v>
          </cell>
          <cell r="W69">
            <v>74.900000000000006</v>
          </cell>
          <cell r="X69">
            <v>56.17</v>
          </cell>
          <cell r="Y69">
            <v>24.34</v>
          </cell>
          <cell r="Z69">
            <v>112.34</v>
          </cell>
          <cell r="AA69">
            <v>37.44</v>
          </cell>
          <cell r="AB69">
            <v>3744.9</v>
          </cell>
          <cell r="AC69">
            <v>0</v>
          </cell>
          <cell r="AD69">
            <v>0</v>
          </cell>
          <cell r="AE69" t="str">
            <v>Sim</v>
          </cell>
        </row>
        <row r="70">
          <cell r="F70">
            <v>122249</v>
          </cell>
          <cell r="G70">
            <v>236748</v>
          </cell>
          <cell r="H70">
            <v>4227467000120</v>
          </cell>
          <cell r="I70" t="str">
            <v>GENTIL NEGOCIOS COMERCIO E FRANCHISING LTDA</v>
          </cell>
          <cell r="J70" t="str">
            <v>AVENIDA PRESIDENTE GETULIO VARGAS</v>
          </cell>
          <cell r="K70">
            <v>18</v>
          </cell>
          <cell r="M70" t="str">
            <v>CENTRO</v>
          </cell>
          <cell r="N70" t="str">
            <v>PARNAMIRIM</v>
          </cell>
          <cell r="O70" t="str">
            <v>RN</v>
          </cell>
          <cell r="Q70">
            <v>59140270</v>
          </cell>
          <cell r="R70">
            <v>170102220</v>
          </cell>
          <cell r="S70">
            <v>2</v>
          </cell>
          <cell r="T70">
            <v>2</v>
          </cell>
          <cell r="U70" t="str">
            <v>Antifraude: 1040 - Tarifa:  0,6604 - Total: R$ 686,82 (Período de apuração: 01/08/2026 à 31/08/2026) Vencimento: 26/09/2026 Brazilian Tax Information: Valor estimado dos tributos IBS e CBS, conforme disposto no art. 12 da Lei Complementar nº 214/2025 (Reforma Tributária sobre Consumo): R$7.01 (1%)</v>
          </cell>
          <cell r="V70">
            <v>700.84</v>
          </cell>
          <cell r="W70">
            <v>14.02</v>
          </cell>
          <cell r="X70">
            <v>10.51</v>
          </cell>
          <cell r="Y70">
            <v>4.5599999999999996</v>
          </cell>
          <cell r="Z70">
            <v>21.03</v>
          </cell>
          <cell r="AA70">
            <v>7.01</v>
          </cell>
          <cell r="AB70">
            <v>700.84</v>
          </cell>
          <cell r="AC70">
            <v>0</v>
          </cell>
          <cell r="AD70">
            <v>0</v>
          </cell>
          <cell r="AE70" t="str">
            <v>Sim</v>
          </cell>
        </row>
        <row r="71">
          <cell r="F71">
            <v>122250</v>
          </cell>
          <cell r="G71">
            <v>236763</v>
          </cell>
          <cell r="H71">
            <v>26335362000127</v>
          </cell>
          <cell r="I71" t="str">
            <v>EVENTPLACE SOLUCOES DIGITAIS LTDA</v>
          </cell>
          <cell r="J71" t="str">
            <v>RIO BRANCO</v>
          </cell>
          <cell r="K71">
            <v>0</v>
          </cell>
          <cell r="M71" t="str">
            <v>SANTA LUCIA</v>
          </cell>
          <cell r="N71" t="str">
            <v>VITORIA</v>
          </cell>
          <cell r="O71" t="str">
            <v>ES</v>
          </cell>
          <cell r="Q71">
            <v>29056255</v>
          </cell>
          <cell r="R71">
            <v>170102220</v>
          </cell>
          <cell r="S71">
            <v>2</v>
          </cell>
          <cell r="T71">
            <v>2</v>
          </cell>
          <cell r="U71" t="str">
            <v>Antifraude: 28 - Total: R$ 3.132,80 (Cobrança pelo mínimo mensal) #25501912 (Período de apuração: 01/08/2026 à 31/08/2026) Vencimento: 19/09/2026 Brazilian Tax Information: Valor estimado dos tributos IBS e CBS, conforme disposto no art. 12 da Lei Complementar nº 214/2025 (Reforma Tributária sobre Consumo): R$31.97 (1%)</v>
          </cell>
          <cell r="V71">
            <v>3196.73</v>
          </cell>
          <cell r="W71">
            <v>63.93</v>
          </cell>
          <cell r="X71">
            <v>47.95</v>
          </cell>
          <cell r="Y71">
            <v>0</v>
          </cell>
          <cell r="Z71">
            <v>0</v>
          </cell>
          <cell r="AA71">
            <v>0</v>
          </cell>
          <cell r="AB71">
            <v>3196.73</v>
          </cell>
          <cell r="AC71">
            <v>0</v>
          </cell>
          <cell r="AD71">
            <v>0</v>
          </cell>
          <cell r="AE71" t="str">
            <v>Cancelada</v>
          </cell>
        </row>
        <row r="72">
          <cell r="F72">
            <v>122251</v>
          </cell>
          <cell r="G72">
            <v>236770</v>
          </cell>
          <cell r="H72">
            <v>29574327000159</v>
          </cell>
          <cell r="I72" t="str">
            <v>E-GR COMERCIO DE PRODUTOS DIVERSOS</v>
          </cell>
          <cell r="J72" t="str">
            <v>MARTIM AFONSO</v>
          </cell>
          <cell r="K72">
            <v>0</v>
          </cell>
          <cell r="M72" t="str">
            <v>BELENZINHO</v>
          </cell>
          <cell r="N72" t="str">
            <v>SAO PAULO</v>
          </cell>
          <cell r="O72" t="str">
            <v>SP</v>
          </cell>
          <cell r="Q72">
            <v>3057050</v>
          </cell>
          <cell r="R72">
            <v>170102220</v>
          </cell>
          <cell r="S72">
            <v>2</v>
          </cell>
          <cell r="T72">
            <v>2</v>
          </cell>
          <cell r="U72" t="str">
            <v>Emailage: 1 - Tarifa:  0,9000 - Total: R$ 0,90 Antifraude: 1 - Total: R$ 1.720,00 (Cobrança pelo mínimo mensal) Analista de Risco: R$ 4.399,00 (Período de apuração: 01/08/2026 à 31/08/2026) Vencimento: 19/09/2026 Brazilian Tax Information: Valor estimado dos tributos IBS e CBS, conforme disposto no art. 12 da Lei Complementar nº 214/2025 (Reforma Tributária sobre Consumo): R$0.01 (1%)</v>
          </cell>
          <cell r="V72">
            <v>6244.8</v>
          </cell>
          <cell r="W72">
            <v>124.9</v>
          </cell>
          <cell r="X72">
            <v>93.67</v>
          </cell>
          <cell r="Y72">
            <v>40.6</v>
          </cell>
          <cell r="Z72">
            <v>187.34</v>
          </cell>
          <cell r="AA72">
            <v>62.45</v>
          </cell>
          <cell r="AB72">
            <v>6244.8</v>
          </cell>
          <cell r="AC72">
            <v>0</v>
          </cell>
          <cell r="AD72">
            <v>0</v>
          </cell>
          <cell r="AE72" t="str">
            <v>Sim</v>
          </cell>
        </row>
        <row r="73">
          <cell r="F73">
            <v>122252</v>
          </cell>
          <cell r="G73">
            <v>236756</v>
          </cell>
          <cell r="H73">
            <v>13032018000117</v>
          </cell>
          <cell r="I73" t="str">
            <v>DROGARIA SOUZA E ROSA LTDA</v>
          </cell>
          <cell r="J73" t="str">
            <v>RUA VARZEA PAULISTA</v>
          </cell>
          <cell r="K73">
            <v>1135</v>
          </cell>
          <cell r="L73" t="str">
            <v>SALAO COME RCIAL</v>
          </cell>
          <cell r="M73" t="str">
            <v>VILA MARIA GENOVEVA</v>
          </cell>
          <cell r="N73" t="str">
            <v>JUNDIAI</v>
          </cell>
          <cell r="O73" t="str">
            <v>SP</v>
          </cell>
          <cell r="Q73">
            <v>13202700</v>
          </cell>
          <cell r="R73">
            <v>170102220</v>
          </cell>
          <cell r="S73">
            <v>2</v>
          </cell>
          <cell r="T73">
            <v>2</v>
          </cell>
          <cell r="U73" t="str">
            <v>Antifraude: 896 - Tarifa:  0,5600 - Total: R$ 501,76 (Período de apuração: 01/08/2026 à 31/08/2026) Vencimento: 26/09/2026 Brazilian Tax Information: Valor estimado dos tributos IBS e CBS, conforme disposto no art. 12 da Lei Complementar nº 214/2025 (Reforma Tributária sobre Consumo): R$5.12 (1%)</v>
          </cell>
          <cell r="V73">
            <v>512</v>
          </cell>
          <cell r="W73">
            <v>10.24</v>
          </cell>
          <cell r="X73">
            <v>0</v>
          </cell>
          <cell r="Y73">
            <v>3.33</v>
          </cell>
          <cell r="Z73">
            <v>15.36</v>
          </cell>
          <cell r="AA73">
            <v>5.12</v>
          </cell>
          <cell r="AB73">
            <v>512</v>
          </cell>
          <cell r="AC73">
            <v>0</v>
          </cell>
          <cell r="AD73">
            <v>0</v>
          </cell>
          <cell r="AE73" t="str">
            <v>Sim</v>
          </cell>
        </row>
        <row r="74">
          <cell r="F74">
            <v>122253</v>
          </cell>
          <cell r="G74">
            <v>236754</v>
          </cell>
          <cell r="H74">
            <v>29815956000123</v>
          </cell>
          <cell r="I74" t="str">
            <v>FENG - FAN ENGAGEMENT MARKETING E INTELIGENCIA LTDA.</v>
          </cell>
          <cell r="J74" t="str">
            <v>AVENIDA OSCAR NIEMEYER</v>
          </cell>
          <cell r="K74">
            <v>2000</v>
          </cell>
          <cell r="L74" t="str">
            <v>BLC 1 SALA 401</v>
          </cell>
          <cell r="M74" t="str">
            <v>SANTO CRISTO</v>
          </cell>
          <cell r="N74" t="str">
            <v>RIO DE JANEIRO</v>
          </cell>
          <cell r="O74" t="str">
            <v>RJ</v>
          </cell>
          <cell r="Q74">
            <v>20220297</v>
          </cell>
          <cell r="R74">
            <v>170102220</v>
          </cell>
          <cell r="S74">
            <v>2</v>
          </cell>
          <cell r="T74">
            <v>2</v>
          </cell>
          <cell r="U74" t="str">
            <v>Analista de Risco: R$ 4.000,00 Antifraude: 14505 - Total: R$ 8.500,00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v>
          </cell>
          <cell r="V74">
            <v>12755.1</v>
          </cell>
          <cell r="W74">
            <v>255.1</v>
          </cell>
          <cell r="X74">
            <v>191.32</v>
          </cell>
          <cell r="Y74">
            <v>82.91</v>
          </cell>
          <cell r="Z74">
            <v>382.65</v>
          </cell>
          <cell r="AA74">
            <v>127.55</v>
          </cell>
          <cell r="AB74">
            <v>12755.1</v>
          </cell>
          <cell r="AC74">
            <v>0</v>
          </cell>
          <cell r="AD74">
            <v>0</v>
          </cell>
          <cell r="AE74" t="str">
            <v>Sim</v>
          </cell>
        </row>
        <row r="75">
          <cell r="F75">
            <v>122254</v>
          </cell>
          <cell r="G75">
            <v>236769</v>
          </cell>
          <cell r="H75">
            <v>40867166000124</v>
          </cell>
          <cell r="I75" t="str">
            <v>FFE DISTRIBUIDORA LTDA</v>
          </cell>
          <cell r="J75" t="str">
            <v>AVENIDA DOUTOR ALVARO DE CAMPOS CARNEIRO</v>
          </cell>
          <cell r="K75">
            <v>242</v>
          </cell>
          <cell r="M75" t="str">
            <v>VILA BRASILEIRA</v>
          </cell>
          <cell r="N75" t="str">
            <v>MOGI DAS CRUZES</v>
          </cell>
          <cell r="O75" t="str">
            <v>SP</v>
          </cell>
          <cell r="Q75">
            <v>8738255</v>
          </cell>
          <cell r="R75">
            <v>170102220</v>
          </cell>
          <cell r="S75">
            <v>2</v>
          </cell>
          <cell r="T75">
            <v>2</v>
          </cell>
          <cell r="U75" t="str">
            <v>Antifraude: 150 -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v>
          </cell>
          <cell r="V75">
            <v>152.66</v>
          </cell>
          <cell r="W75">
            <v>3.05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152.66</v>
          </cell>
          <cell r="AC75">
            <v>0</v>
          </cell>
          <cell r="AD75">
            <v>0</v>
          </cell>
          <cell r="AE75" t="str">
            <v>Sim</v>
          </cell>
        </row>
        <row r="76">
          <cell r="F76">
            <v>122255</v>
          </cell>
          <cell r="G76">
            <v>236764</v>
          </cell>
          <cell r="H76">
            <v>45157556000124</v>
          </cell>
          <cell r="I76" t="str">
            <v>FLAY BRAND COMERCIO DE VESTUARIO LTDA</v>
          </cell>
          <cell r="J76" t="str">
            <v>QUADRA SCN QUADRA 1 BLOCO D</v>
          </cell>
          <cell r="K76" t="str">
            <v>SN</v>
          </cell>
          <cell r="L76" t="str">
            <v>TORRE A LO JA 37</v>
          </cell>
          <cell r="M76" t="str">
            <v>ASA NORTE</v>
          </cell>
          <cell r="N76" t="str">
            <v>BRASILIA</v>
          </cell>
          <cell r="O76" t="str">
            <v>DF</v>
          </cell>
          <cell r="Q76">
            <v>70711040</v>
          </cell>
          <cell r="R76">
            <v>170102220</v>
          </cell>
          <cell r="S76">
            <v>2</v>
          </cell>
          <cell r="T76">
            <v>2</v>
          </cell>
          <cell r="U76" t="str">
            <v>Antifraude: 4 - Total: R$ 198,00 (Cobrança pelo mínimo mensal) Análise Manual Expressa: 1 - Tarifa: 11,9900 - Total: R$ 11,99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76">
            <v>214.27</v>
          </cell>
          <cell r="W76">
            <v>4.29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214.27</v>
          </cell>
          <cell r="AC76">
            <v>0</v>
          </cell>
          <cell r="AD76">
            <v>0</v>
          </cell>
          <cell r="AE76" t="str">
            <v>Sim</v>
          </cell>
        </row>
        <row r="77">
          <cell r="F77">
            <v>122256</v>
          </cell>
          <cell r="G77">
            <v>236751</v>
          </cell>
          <cell r="H77">
            <v>49058654000165</v>
          </cell>
          <cell r="I77" t="str">
            <v>FLEXFORM INDUSTRIA E COMERCIO DE MOVEIS LTDA</v>
          </cell>
          <cell r="J77" t="str">
            <v>AVENIDA PAPA JOAO PAULO I</v>
          </cell>
          <cell r="K77">
            <v>1849</v>
          </cell>
          <cell r="M77" t="str">
            <v>CUMBICA</v>
          </cell>
          <cell r="N77" t="str">
            <v>GUARULHOS</v>
          </cell>
          <cell r="O77" t="str">
            <v>SP</v>
          </cell>
          <cell r="Q77">
            <v>7170350</v>
          </cell>
          <cell r="R77">
            <v>170102220</v>
          </cell>
          <cell r="S77">
            <v>2</v>
          </cell>
          <cell r="T77">
            <v>2</v>
          </cell>
          <cell r="U77" t="str">
            <v>Analista de Risco: R$ 3.200,00 Antifraude: 2228 - Total: R$ 1.830,00 (Cobrança pelo mínimo mensal) (Período de apuração: 01/08/2026 à 31/08/2026) Vencimento: 26/09/2026 Brazilian Tax Information: Valor estimado dos tributos IBS e CBS, conforme disposto no art. 12 da Lei Complementar nº 214/2025 (Reforma Tributária sobre Consumo): R$32.65 (1%)</v>
          </cell>
          <cell r="V77">
            <v>5132.66</v>
          </cell>
          <cell r="W77">
            <v>102.65</v>
          </cell>
          <cell r="X77">
            <v>76.989999999999995</v>
          </cell>
          <cell r="Y77">
            <v>33.36</v>
          </cell>
          <cell r="Z77">
            <v>153.97999999999999</v>
          </cell>
          <cell r="AA77">
            <v>51.32</v>
          </cell>
          <cell r="AB77">
            <v>5132.66</v>
          </cell>
          <cell r="AC77">
            <v>0</v>
          </cell>
          <cell r="AD77">
            <v>0</v>
          </cell>
          <cell r="AE77" t="str">
            <v>Sim</v>
          </cell>
        </row>
        <row r="78">
          <cell r="F78">
            <v>122257</v>
          </cell>
          <cell r="G78">
            <v>236752</v>
          </cell>
          <cell r="H78">
            <v>32270838000191</v>
          </cell>
          <cell r="I78" t="str">
            <v>FORTLEV ENERGIA SOLAR LTDA</v>
          </cell>
          <cell r="J78" t="str">
            <v>AVENIDA CIVIT</v>
          </cell>
          <cell r="K78">
            <v>22</v>
          </cell>
          <cell r="L78" t="str">
            <v>ANEXO ADM</v>
          </cell>
          <cell r="M78" t="str">
            <v>CIVIT I</v>
          </cell>
          <cell r="N78" t="str">
            <v>SERRA</v>
          </cell>
          <cell r="O78" t="str">
            <v>ES</v>
          </cell>
          <cell r="Q78">
            <v>29168045</v>
          </cell>
          <cell r="R78">
            <v>170102220</v>
          </cell>
          <cell r="S78">
            <v>2</v>
          </cell>
          <cell r="T78">
            <v>2</v>
          </cell>
          <cell r="U78" t="str">
            <v>Analista de Risco: R$ 4.339,09 Emailage: 2228 - Tarifa:  0,2881 - Total: R$ 641,89 Antifraude: 2232 - Tarifa:  0,4562 - Total: R$ 1.018,24 Serviço de Validação de Dados: 1849 - Tarifa:  0,2678 - Total: R$ 495,16 (Período de apuração: 01/08/2026 à 31/08/2026) Vencimento: 26/09/2026 Brazilian Tax Information: Valor estimado dos tributos IBS e CBS, conforme disposto no art. 12 da Lei Complementar nº 214/2025 (Reforma Tributária sobre Consumo): R$44.28 (1%)</v>
          </cell>
          <cell r="V78">
            <v>6626.92</v>
          </cell>
          <cell r="W78">
            <v>132.54</v>
          </cell>
          <cell r="X78">
            <v>99.4</v>
          </cell>
          <cell r="Y78">
            <v>43.07</v>
          </cell>
          <cell r="Z78">
            <v>198.81</v>
          </cell>
          <cell r="AA78">
            <v>66.27</v>
          </cell>
          <cell r="AB78">
            <v>6626.92</v>
          </cell>
          <cell r="AC78">
            <v>0</v>
          </cell>
          <cell r="AD78">
            <v>0</v>
          </cell>
          <cell r="AE78" t="str">
            <v>Sim</v>
          </cell>
        </row>
        <row r="79">
          <cell r="F79">
            <v>122258</v>
          </cell>
          <cell r="G79">
            <v>236753</v>
          </cell>
          <cell r="H79">
            <v>20320503001123</v>
          </cell>
          <cell r="I79" t="str">
            <v>FUNDACAO ARTHUR BERNARDES</v>
          </cell>
          <cell r="J79" t="str">
            <v>CAMPUS DA UNIVERSIDADE FEDERAL DE VICOSA</v>
          </cell>
          <cell r="K79" t="str">
            <v>S/N</v>
          </cell>
          <cell r="M79" t="str">
            <v>CAMPUS</v>
          </cell>
          <cell r="N79" t="str">
            <v>VICOSA</v>
          </cell>
          <cell r="O79" t="str">
            <v>MG</v>
          </cell>
          <cell r="Q79">
            <v>36570900</v>
          </cell>
          <cell r="R79">
            <v>170102220</v>
          </cell>
          <cell r="S79">
            <v>2</v>
          </cell>
          <cell r="T79">
            <v>2</v>
          </cell>
          <cell r="U79" t="str">
            <v>Antifraude: 275 - Total: R$ 326,40 (Cobrança pelo mínimo mensal) (Período de apuração: 01/08/2026 à 31/08/2026) Vencimento: 11/10/2026 Brazilian Tax Information: Valor estimado dos tributos IBS e CBS, conforme disposto no art. 12 da Lei Complementar nº 214/2025 (Reforma Tributária sobre Consumo): R$3.33 (1%)</v>
          </cell>
          <cell r="V79">
            <v>333.06</v>
          </cell>
          <cell r="W79">
            <v>6.66</v>
          </cell>
          <cell r="X79">
            <v>0</v>
          </cell>
          <cell r="Y79">
            <v>2.16</v>
          </cell>
          <cell r="Z79">
            <v>9.99</v>
          </cell>
          <cell r="AA79">
            <v>3.33</v>
          </cell>
          <cell r="AB79">
            <v>333.06</v>
          </cell>
          <cell r="AC79">
            <v>0</v>
          </cell>
          <cell r="AD79">
            <v>0</v>
          </cell>
          <cell r="AE79" t="str">
            <v>Sim</v>
          </cell>
        </row>
        <row r="80">
          <cell r="F80">
            <v>122259</v>
          </cell>
          <cell r="G80">
            <v>236755</v>
          </cell>
          <cell r="H80">
            <v>54069380000140</v>
          </cell>
          <cell r="I80" t="str">
            <v>FUNDACAO EDITORA DA UNESP</v>
          </cell>
          <cell r="J80" t="str">
            <v>PRACA DA SE</v>
          </cell>
          <cell r="K80">
            <v>108</v>
          </cell>
          <cell r="M80" t="str">
            <v>CENTRO</v>
          </cell>
          <cell r="N80" t="str">
            <v>SAO PAULO</v>
          </cell>
          <cell r="O80" t="str">
            <v>SP</v>
          </cell>
          <cell r="Q80">
            <v>1001900</v>
          </cell>
          <cell r="R80">
            <v>170102220</v>
          </cell>
          <cell r="S80">
            <v>2</v>
          </cell>
          <cell r="T80">
            <v>2</v>
          </cell>
          <cell r="U80" t="str">
            <v>Antifraude: 206 - Tarifa:  0,7857 - Total: R$ 161,85 (Período de apuração: 01/08/2026 à 31/08/2026) Vencimento: 26/09/2026 Brazilian Tax Information: Valor estimado dos tributos IBS e CBS, conforme disposto no art. 12 da Lei Complementar nº 214/2025 (Reforma Tributária sobre Consumo): R$1.65 (1%)</v>
          </cell>
          <cell r="V80">
            <v>165.15</v>
          </cell>
          <cell r="W80">
            <v>3.3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165.15</v>
          </cell>
          <cell r="AC80">
            <v>0</v>
          </cell>
          <cell r="AD80">
            <v>0</v>
          </cell>
          <cell r="AE80" t="str">
            <v>Sim</v>
          </cell>
        </row>
        <row r="81">
          <cell r="F81">
            <v>122260</v>
          </cell>
          <cell r="G81">
            <v>236760</v>
          </cell>
          <cell r="H81">
            <v>43250297000156</v>
          </cell>
          <cell r="I81" t="str">
            <v>GAV INTERCAMBIADORA ADMINISTRACAO E PARTICIPACOES UNIPESSOAL</v>
          </cell>
          <cell r="J81" t="str">
            <v>AVENIDA 136</v>
          </cell>
          <cell r="K81">
            <v>761</v>
          </cell>
          <cell r="L81" t="str">
            <v>QUADRAF44 LOTE 02E S</v>
          </cell>
          <cell r="M81" t="str">
            <v>SET SUL</v>
          </cell>
          <cell r="N81" t="str">
            <v>GOIANIA</v>
          </cell>
          <cell r="O81" t="str">
            <v>GO</v>
          </cell>
          <cell r="Q81">
            <v>74093250</v>
          </cell>
          <cell r="R81">
            <v>170102220</v>
          </cell>
          <cell r="S81">
            <v>2</v>
          </cell>
          <cell r="T81">
            <v>2</v>
          </cell>
          <cell r="U81" t="str">
            <v>Antifraude: 17 -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v>
          </cell>
          <cell r="V81">
            <v>158.1</v>
          </cell>
          <cell r="W81">
            <v>3.16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158.1</v>
          </cell>
          <cell r="AC81">
            <v>0</v>
          </cell>
          <cell r="AD81">
            <v>0</v>
          </cell>
          <cell r="AE81" t="str">
            <v>Sim</v>
          </cell>
        </row>
        <row r="82">
          <cell r="F82">
            <v>122261</v>
          </cell>
          <cell r="G82">
            <v>236761</v>
          </cell>
          <cell r="H82">
            <v>77941490000155</v>
          </cell>
          <cell r="I82" t="str">
            <v>GAZIN INDUSTRIA E COMERCIO DE MOVEIS E ELETRODOMESTICOS S.A</v>
          </cell>
          <cell r="J82" t="str">
            <v>RODOVIA ANTONIO PEDROSO</v>
          </cell>
          <cell r="K82" t="str">
            <v>SN</v>
          </cell>
          <cell r="M82" t="str">
            <v>CENTRO</v>
          </cell>
          <cell r="N82" t="str">
            <v>DOURADINA</v>
          </cell>
          <cell r="O82" t="str">
            <v>PR</v>
          </cell>
          <cell r="Q82">
            <v>87485000</v>
          </cell>
          <cell r="R82">
            <v>170102220</v>
          </cell>
          <cell r="S82">
            <v>2</v>
          </cell>
          <cell r="T82">
            <v>2</v>
          </cell>
          <cell r="U82" t="str">
            <v>Analista de Risco: R$ 5.867,63 Serviço de Validação de Dados: 4785 - Tarifa:  0,3607 - Total: R$ 1.725,95 Antifraude: 22500 - Tarifa:  0,5939 - Total: R$ 13.362,75 Análise Manual Expressa: 1873 - Tarifa: 10,3800 - Total: R$ 19.441,74 (Período de apuração: 01/08/2026 à 31/08/2026) Vencimento: 26/09/2026 Brazilian Tax Information: Valor estimado dos tributos IBS e CBS, conforme disposto no art. 12 da Lei Complementar nº 214/2025 (Reforma Tributária sobre Consumo): R$59.87 (1%)</v>
          </cell>
          <cell r="V82">
            <v>41222.519999999997</v>
          </cell>
          <cell r="W82">
            <v>824.45</v>
          </cell>
          <cell r="X82">
            <v>618.34</v>
          </cell>
          <cell r="Y82">
            <v>267.95</v>
          </cell>
          <cell r="Z82">
            <v>1236.68</v>
          </cell>
          <cell r="AA82">
            <v>412.22</v>
          </cell>
          <cell r="AB82">
            <v>41222.519999999997</v>
          </cell>
          <cell r="AC82">
            <v>0</v>
          </cell>
          <cell r="AD82">
            <v>0</v>
          </cell>
          <cell r="AE82" t="str">
            <v>Sim</v>
          </cell>
        </row>
        <row r="83">
          <cell r="F83">
            <v>122262</v>
          </cell>
          <cell r="G83">
            <v>236767</v>
          </cell>
          <cell r="H83">
            <v>27865757006992</v>
          </cell>
          <cell r="I83" t="str">
            <v>GLOBO COMUNICACAO E PARTICIPACOES S/A</v>
          </cell>
          <cell r="J83" t="str">
            <v>AVENIDA DAS AMERICAS</v>
          </cell>
          <cell r="K83">
            <v>1650</v>
          </cell>
          <cell r="L83" t="str">
            <v>BLOCO 3 SA LAS 101 A</v>
          </cell>
          <cell r="M83" t="str">
            <v>BARRA DA TIJUCA</v>
          </cell>
          <cell r="N83" t="str">
            <v>RIO DE JANEIRO</v>
          </cell>
          <cell r="O83" t="str">
            <v>RJ</v>
          </cell>
          <cell r="Q83">
            <v>22640101</v>
          </cell>
          <cell r="R83">
            <v>170102220</v>
          </cell>
          <cell r="S83">
            <v>2</v>
          </cell>
          <cell r="T83">
            <v>2</v>
          </cell>
          <cell r="U83" t="str">
            <v>Analista de Risco: R$ 15.840,00 Antifraude: 68688 - Total: R$ 18.700,00 (Cobrança pelo mínimo mensal) (Período de apuração: 01/08/2026 à 31/08/2026) Vencimento: 26/10/2026 Brazilian Tax Information: Valor estimado dos tributos IBS e CBS, conforme disposto no art. 12 da Lei Complementar nº 214/2025 (Reforma Tributária sobre Consumo): R$161.63 (1%)</v>
          </cell>
          <cell r="V83">
            <v>35244.9</v>
          </cell>
          <cell r="W83">
            <v>704.9</v>
          </cell>
          <cell r="X83">
            <v>528.66999999999996</v>
          </cell>
          <cell r="Y83">
            <v>229.09</v>
          </cell>
          <cell r="Z83">
            <v>1057.3499999999999</v>
          </cell>
          <cell r="AA83">
            <v>352.45</v>
          </cell>
          <cell r="AB83">
            <v>35244.9</v>
          </cell>
          <cell r="AC83">
            <v>0</v>
          </cell>
          <cell r="AD83">
            <v>0</v>
          </cell>
          <cell r="AE83" t="str">
            <v>Sim</v>
          </cell>
        </row>
        <row r="84">
          <cell r="F84">
            <v>122263</v>
          </cell>
          <cell r="G84">
            <v>236774</v>
          </cell>
          <cell r="H84">
            <v>3738295000196</v>
          </cell>
          <cell r="I84" t="str">
            <v>FAST SOLUTION - SERVICOS ADMINISTRATIVOS E FINANCEIROS LTDA</v>
          </cell>
          <cell r="J84" t="str">
            <v>RUA MEXICO</v>
          </cell>
          <cell r="K84">
            <v>31</v>
          </cell>
          <cell r="L84" t="str">
            <v>SAL 703</v>
          </cell>
          <cell r="M84" t="str">
            <v>CENTRO</v>
          </cell>
          <cell r="N84" t="str">
            <v>RIO DE JANEIRO</v>
          </cell>
          <cell r="O84" t="str">
            <v>RJ</v>
          </cell>
          <cell r="Q84">
            <v>20031144</v>
          </cell>
          <cell r="R84">
            <v>170102220</v>
          </cell>
          <cell r="S84">
            <v>2</v>
          </cell>
          <cell r="T84">
            <v>2</v>
          </cell>
          <cell r="U84" t="str">
            <v>Antifraude: 1042 - Tarifa:  0,5137 - Total: R$ 535,28 Analista de Risco: R$ 4.199,99 Emailage: 1040 - Tarifa:  0,5500 - Total: R$ 572,00 Análise Manual Expressa: 12 - Tarifa: 8,8800 - Total: R$ 106,56 (Período de apuração: 01/08/2026 à 31/08/2026) Vencimento: 26/09/2026 Brazilian Tax Information: Valor estimado dos tributos IBS e CBS, conforme disposto no art. 12 da Lei Complementar nº 214/2025 (Reforma Tributária sobre Consumo): R$5.46 (1%)</v>
          </cell>
          <cell r="V84">
            <v>5524.3</v>
          </cell>
          <cell r="W84">
            <v>110.49</v>
          </cell>
          <cell r="X84">
            <v>82.87</v>
          </cell>
          <cell r="Y84">
            <v>35.909999999999997</v>
          </cell>
          <cell r="Z84">
            <v>165.73</v>
          </cell>
          <cell r="AA84">
            <v>55.25</v>
          </cell>
          <cell r="AB84">
            <v>5524.3</v>
          </cell>
          <cell r="AC84">
            <v>0</v>
          </cell>
          <cell r="AD84">
            <v>0</v>
          </cell>
          <cell r="AE84" t="str">
            <v>Sim</v>
          </cell>
        </row>
        <row r="85">
          <cell r="F85">
            <v>122264</v>
          </cell>
          <cell r="G85">
            <v>236796</v>
          </cell>
          <cell r="H85">
            <v>22148789000165</v>
          </cell>
          <cell r="I85" t="str">
            <v>GV4 EMPREENDIMENTOS HOTELEIROS E TURISTICOS DE MACEIO LTDA</v>
          </cell>
          <cell r="J85" t="str">
            <v>RODOVIA GUNTHER FRANS OLIVEIRA</v>
          </cell>
          <cell r="K85" t="str">
            <v>S/N</v>
          </cell>
          <cell r="M85" t="str">
            <v>IPIOCA</v>
          </cell>
          <cell r="N85" t="str">
            <v>MACEIO</v>
          </cell>
          <cell r="O85" t="str">
            <v>AL</v>
          </cell>
          <cell r="Q85">
            <v>57039700</v>
          </cell>
          <cell r="R85">
            <v>170102220</v>
          </cell>
          <cell r="S85">
            <v>2</v>
          </cell>
          <cell r="T85">
            <v>2</v>
          </cell>
          <cell r="U85" t="str">
            <v>Antifraude: 60 - Total: R$ 285,00 (Cobrança pelo mínimo mensal) (Período de apuração: 01/08/2026 à 31/08/2026) Vencimento: 26/09/2026 Brazilian Tax Information: Valor estimado dos tributos IBS e CBS, conforme disposto no art. 12 da Lei Complementar nº 214/2025 (Reforma Tributária sobre Consumo): R$2.91 (1%)</v>
          </cell>
          <cell r="V85">
            <v>290.82</v>
          </cell>
          <cell r="W85">
            <v>5.82</v>
          </cell>
          <cell r="X85">
            <v>0</v>
          </cell>
          <cell r="Y85">
            <v>1.89</v>
          </cell>
          <cell r="Z85">
            <v>8.7200000000000006</v>
          </cell>
          <cell r="AA85">
            <v>2.91</v>
          </cell>
          <cell r="AB85">
            <v>290.82</v>
          </cell>
          <cell r="AC85">
            <v>0</v>
          </cell>
          <cell r="AD85">
            <v>0</v>
          </cell>
          <cell r="AE85" t="str">
            <v>Sim</v>
          </cell>
        </row>
        <row r="86">
          <cell r="F86">
            <v>122265</v>
          </cell>
          <cell r="G86">
            <v>236786</v>
          </cell>
          <cell r="H86">
            <v>89237911000140</v>
          </cell>
          <cell r="I86" t="str">
            <v>GLOBAL DISTRIBUICAO DE BENS DE CONSUMO LTDA.</v>
          </cell>
          <cell r="J86" t="str">
            <v>RODOVIA BR 116</v>
          </cell>
          <cell r="K86">
            <v>7350</v>
          </cell>
          <cell r="M86" t="str">
            <v>PORTAL DA SERRA</v>
          </cell>
          <cell r="N86" t="str">
            <v>DOIS IRMAOS</v>
          </cell>
          <cell r="O86" t="str">
            <v>RS</v>
          </cell>
          <cell r="Q86">
            <v>93950000</v>
          </cell>
          <cell r="R86">
            <v>170102220</v>
          </cell>
          <cell r="S86">
            <v>2</v>
          </cell>
          <cell r="T86">
            <v>2</v>
          </cell>
          <cell r="U86" t="str">
            <v>Analista de Risco: R$ 5.826,60 Serviço de Validação de Dados: 224 - Tarifa:  0,4987 - Total: R$ 111,71 Antifraude: 662 - Tarifa:  0,6027 - Total: R$ 398,99 (Período de apuração: 01/08/2026 à 31/08/2026) Vencimento: 26/09/2026 Brazilian Tax Information: Valor estimado dos tributos IBS e CBS, conforme disposto no art. 12 da Lei Complementar nº 214/2025 (Reforma Tributária sobre Consumo): R$59.46 (1%)</v>
          </cell>
          <cell r="V86">
            <v>6466.63</v>
          </cell>
          <cell r="W86">
            <v>129.33000000000001</v>
          </cell>
          <cell r="X86">
            <v>97</v>
          </cell>
          <cell r="Y86">
            <v>42.04</v>
          </cell>
          <cell r="Z86">
            <v>194</v>
          </cell>
          <cell r="AA86">
            <v>64.67</v>
          </cell>
          <cell r="AB86">
            <v>6466.63</v>
          </cell>
          <cell r="AC86">
            <v>0</v>
          </cell>
          <cell r="AD86">
            <v>0</v>
          </cell>
          <cell r="AE86" t="str">
            <v>Sim</v>
          </cell>
        </row>
        <row r="87">
          <cell r="F87">
            <v>122266</v>
          </cell>
          <cell r="G87">
            <v>236785</v>
          </cell>
          <cell r="H87">
            <v>37426051000866</v>
          </cell>
          <cell r="I87" t="str">
            <v>BELL RIO COSMETICOS LTDA</v>
          </cell>
          <cell r="J87" t="str">
            <v>AVENIDA NELSON CARDOSO</v>
          </cell>
          <cell r="K87">
            <v>1228</v>
          </cell>
          <cell r="M87" t="str">
            <v>TAQUARA</v>
          </cell>
          <cell r="N87" t="str">
            <v>RIO DE JANEIRO</v>
          </cell>
          <cell r="O87" t="str">
            <v>RJ</v>
          </cell>
          <cell r="Q87">
            <v>22730001</v>
          </cell>
          <cell r="R87">
            <v>170102220</v>
          </cell>
          <cell r="S87">
            <v>2</v>
          </cell>
          <cell r="T87">
            <v>2</v>
          </cell>
          <cell r="U87" t="str">
            <v>Antifraude: 154 - Total: R$ 147,12 (Cobrança pelo mínimo mensal) Análise Manual Expressa: 30 - Tarifa: 9,0000 - Total: R$ 270,00 (Período de apuração: 01/08/2026 à 31/08/2026) Vencimento: 26/09/2026 Brazilian Tax Information: Valor estimado dos tributos IBS e CBS, conforme disposto no art. 12 da Lei Complementar nº 214/2025 (Reforma Tributária sobre Consumo): R$1.50 (1%)</v>
          </cell>
          <cell r="V87">
            <v>425.63</v>
          </cell>
          <cell r="W87">
            <v>8.51</v>
          </cell>
          <cell r="X87">
            <v>0</v>
          </cell>
          <cell r="Y87">
            <v>2.77</v>
          </cell>
          <cell r="Z87">
            <v>12.77</v>
          </cell>
          <cell r="AA87">
            <v>4.26</v>
          </cell>
          <cell r="AB87">
            <v>425.63</v>
          </cell>
          <cell r="AC87">
            <v>0</v>
          </cell>
          <cell r="AD87">
            <v>0</v>
          </cell>
          <cell r="AE87" t="str">
            <v>Sim</v>
          </cell>
        </row>
        <row r="88">
          <cell r="F88">
            <v>122267</v>
          </cell>
          <cell r="G88">
            <v>236792</v>
          </cell>
          <cell r="H88">
            <v>10489264000538</v>
          </cell>
          <cell r="I88" t="str">
            <v>ADO ATELIER DE CRIACAO LTDA</v>
          </cell>
          <cell r="J88" t="str">
            <v>RUA JOSE DO PATROCINIO</v>
          </cell>
          <cell r="K88">
            <v>60</v>
          </cell>
          <cell r="L88" t="str">
            <v>GALPAO.</v>
          </cell>
          <cell r="M88" t="str">
            <v>PADRE EUSTAQUIO</v>
          </cell>
          <cell r="N88" t="str">
            <v>BELO HORIZONTE</v>
          </cell>
          <cell r="O88" t="str">
            <v>MG</v>
          </cell>
          <cell r="Q88">
            <v>30720390</v>
          </cell>
          <cell r="R88">
            <v>170102220</v>
          </cell>
          <cell r="S88">
            <v>2</v>
          </cell>
          <cell r="T88">
            <v>2</v>
          </cell>
          <cell r="U88" t="str">
            <v>Antifraude: 374 - Total: R$ 486,00 (Cobrança pelo mínimo mensal) (Período de apuração: 01/08/2026 à 31/08/2026) Vencimento: 26/09/2026 Brazilian Tax Information: Valor estimado dos tributos IBS e CBS, conforme disposto no art. 12 da Lei Complementar nº 214/2025 (Reforma Tributária sobre Consumo): R$4.96 (1%)</v>
          </cell>
          <cell r="V88">
            <v>495.92</v>
          </cell>
          <cell r="W88">
            <v>9.92</v>
          </cell>
          <cell r="X88">
            <v>0</v>
          </cell>
          <cell r="Y88">
            <v>3.22</v>
          </cell>
          <cell r="Z88">
            <v>14.88</v>
          </cell>
          <cell r="AA88">
            <v>4.96</v>
          </cell>
          <cell r="AB88">
            <v>495.92</v>
          </cell>
          <cell r="AC88">
            <v>0</v>
          </cell>
          <cell r="AD88">
            <v>0</v>
          </cell>
          <cell r="AE88" t="str">
            <v>Sim</v>
          </cell>
        </row>
        <row r="89">
          <cell r="F89">
            <v>122268</v>
          </cell>
          <cell r="G89">
            <v>236780</v>
          </cell>
          <cell r="H89">
            <v>8663039001091</v>
          </cell>
          <cell r="I89" t="str">
            <v>CRESCERFARMA LTDA</v>
          </cell>
          <cell r="J89" t="str">
            <v>AVENIDA SIDONIO OTONI</v>
          </cell>
          <cell r="K89">
            <v>3200</v>
          </cell>
          <cell r="L89" t="str">
            <v>SALA 2</v>
          </cell>
          <cell r="M89" t="str">
            <v>JARDIM SERRA VERDE</v>
          </cell>
          <cell r="N89" t="str">
            <v>TEOFILO OTONI</v>
          </cell>
          <cell r="O89" t="str">
            <v>MG</v>
          </cell>
          <cell r="Q89">
            <v>39801500</v>
          </cell>
          <cell r="R89">
            <v>170102220</v>
          </cell>
          <cell r="S89">
            <v>2</v>
          </cell>
          <cell r="T89">
            <v>2</v>
          </cell>
          <cell r="U89" t="str">
            <v>Antifraude: 489 - Tarifa:  0,8200 - Total: R$ 400,98 (Período de apuração: 01/08/2026 à 31/08/2026) Vencimento: 26/09/2026 Brazilian Tax Information: Valor estimado dos tributos IBS e CBS, conforme disposto no art. 12 da Lei Complementar nº 214/2025 (Reforma Tributária sobre Consumo): R$4.09 (1%)</v>
          </cell>
          <cell r="V89">
            <v>409.16</v>
          </cell>
          <cell r="W89">
            <v>8.18</v>
          </cell>
          <cell r="X89">
            <v>0</v>
          </cell>
          <cell r="Y89">
            <v>2.66</v>
          </cell>
          <cell r="Z89">
            <v>12.27</v>
          </cell>
          <cell r="AA89">
            <v>4.09</v>
          </cell>
          <cell r="AB89">
            <v>409.16</v>
          </cell>
          <cell r="AC89">
            <v>0</v>
          </cell>
          <cell r="AD89">
            <v>0</v>
          </cell>
          <cell r="AE89" t="str">
            <v>Sim</v>
          </cell>
        </row>
        <row r="90">
          <cell r="F90">
            <v>122269</v>
          </cell>
          <cell r="G90">
            <v>236773</v>
          </cell>
          <cell r="H90">
            <v>13329758000110</v>
          </cell>
          <cell r="I90" t="str">
            <v>E2S IMPORTADORA E EXPORTADORA LTDA</v>
          </cell>
          <cell r="J90" t="str">
            <v>RODOVIA WASHINGTON LUIS</v>
          </cell>
          <cell r="K90" t="str">
            <v>S/N</v>
          </cell>
          <cell r="L90" t="str">
            <v>KM 449</v>
          </cell>
          <cell r="M90" t="str">
            <v>PERIMETRO URBANO</v>
          </cell>
          <cell r="N90" t="str">
            <v>MIRASSOL</v>
          </cell>
          <cell r="O90" t="str">
            <v>SP</v>
          </cell>
          <cell r="Q90">
            <v>15135759</v>
          </cell>
          <cell r="R90">
            <v>170102220</v>
          </cell>
          <cell r="S90">
            <v>2</v>
          </cell>
          <cell r="T90">
            <v>2</v>
          </cell>
          <cell r="U90" t="str">
            <v>Antifraude: 16 -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v>
          </cell>
          <cell r="V90">
            <v>489.18</v>
          </cell>
          <cell r="W90">
            <v>9.7799999999999994</v>
          </cell>
          <cell r="X90">
            <v>0</v>
          </cell>
          <cell r="Y90">
            <v>3.18</v>
          </cell>
          <cell r="Z90">
            <v>14.68</v>
          </cell>
          <cell r="AA90">
            <v>4.8899999999999997</v>
          </cell>
          <cell r="AB90">
            <v>489.18</v>
          </cell>
          <cell r="AC90">
            <v>0</v>
          </cell>
          <cell r="AD90">
            <v>0</v>
          </cell>
          <cell r="AE90" t="str">
            <v>Sim</v>
          </cell>
        </row>
        <row r="91">
          <cell r="F91">
            <v>122270</v>
          </cell>
          <cell r="G91">
            <v>236772</v>
          </cell>
          <cell r="H91">
            <v>75047498000490</v>
          </cell>
          <cell r="I91" t="str">
            <v>EMPRESA HOTELEIRA MABU LTDA</v>
          </cell>
          <cell r="J91" t="str">
            <v>AVENIDA DAS CATARATAS</v>
          </cell>
          <cell r="K91">
            <v>3175</v>
          </cell>
          <cell r="M91" t="str">
            <v>VILA YOLANDA</v>
          </cell>
          <cell r="N91" t="str">
            <v>FOZ DO IGUACU</v>
          </cell>
          <cell r="O91" t="str">
            <v>PR</v>
          </cell>
          <cell r="Q91">
            <v>85853000</v>
          </cell>
          <cell r="R91">
            <v>170102220</v>
          </cell>
          <cell r="S91">
            <v>2</v>
          </cell>
          <cell r="T91">
            <v>2</v>
          </cell>
          <cell r="U91" t="str">
            <v>Antifraude: 220 - Tarifa:  0,7857 - Total: R$ 172,85 (Período de apuração: 01/08/2026 à 31/08/2026) Vencimento: 26/09/2026 Brazilian Tax Information: Valor estimado dos tributos IBS e CBS, conforme disposto no art. 12 da Lei Complementar nº 214/2025 (Reforma Tributária sobre Consumo): R$1.76 (1%)</v>
          </cell>
          <cell r="V91">
            <v>176.38</v>
          </cell>
          <cell r="W91">
            <v>3.53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176.38</v>
          </cell>
          <cell r="AC91">
            <v>0</v>
          </cell>
          <cell r="AD91">
            <v>0</v>
          </cell>
          <cell r="AE91" t="str">
            <v>Sim</v>
          </cell>
        </row>
        <row r="92">
          <cell r="F92">
            <v>122271</v>
          </cell>
          <cell r="G92">
            <v>236784</v>
          </cell>
          <cell r="H92">
            <v>29266704000192</v>
          </cell>
          <cell r="I92" t="str">
            <v>DI BACCELLI CONFECCOES, COMERCIO EVESTUARIOS ECOMMERCE LTDA</v>
          </cell>
          <cell r="J92" t="str">
            <v>RUA GAL FLORES</v>
          </cell>
          <cell r="K92">
            <v>418</v>
          </cell>
          <cell r="M92" t="str">
            <v>BOM RETIRO</v>
          </cell>
          <cell r="N92" t="str">
            <v>SAO PAULO</v>
          </cell>
          <cell r="O92" t="str">
            <v>SP</v>
          </cell>
          <cell r="Q92">
            <v>1129010</v>
          </cell>
          <cell r="R92">
            <v>170102220</v>
          </cell>
          <cell r="S92">
            <v>2</v>
          </cell>
          <cell r="T92">
            <v>2</v>
          </cell>
          <cell r="U92" t="str">
            <v>Antifraude: 5 - Total: R$ 261,83 (Cobrança pelo mínimo mensal) (Período de apuração: 01/08/2026 à 31/08/2026) Vencimento: 26/09/2026 Brazilian Tax Information: Valor estimado dos tributos IBS e CBS, conforme disposto no art. 12 da Lei Complementar nº 214/2025 (Reforma Tributária sobre Consumo): R$2.67 (1%)</v>
          </cell>
          <cell r="V92">
            <v>267.17</v>
          </cell>
          <cell r="W92">
            <v>5.34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267.17</v>
          </cell>
          <cell r="AC92">
            <v>0</v>
          </cell>
          <cell r="AD92">
            <v>0</v>
          </cell>
          <cell r="AE92" t="str">
            <v>Sim</v>
          </cell>
        </row>
        <row r="93">
          <cell r="F93">
            <v>122272</v>
          </cell>
          <cell r="G93">
            <v>236781</v>
          </cell>
          <cell r="H93">
            <v>3447568000143</v>
          </cell>
          <cell r="I93" t="str">
            <v>ASSOCIACAO INSTITUTO NACIONAL DE MATEMATICA PURA E APLICADA</v>
          </cell>
          <cell r="J93" t="str">
            <v>ESTRADA DONA CASTORINA</v>
          </cell>
          <cell r="K93">
            <v>110</v>
          </cell>
          <cell r="M93" t="str">
            <v>JARDIM BOTANICO</v>
          </cell>
          <cell r="N93" t="str">
            <v>RIO DE JANEIRO</v>
          </cell>
          <cell r="O93" t="str">
            <v>RJ</v>
          </cell>
          <cell r="Q93">
            <v>22460320</v>
          </cell>
          <cell r="R93">
            <v>170102220</v>
          </cell>
          <cell r="S93">
            <v>2</v>
          </cell>
          <cell r="T93">
            <v>2</v>
          </cell>
          <cell r="U93" t="str">
            <v>Antifraude: 122 - Total: R$ 282,00 (Cobrança pelo mínimo mensal) (Período de apuração: 01/08/2026 à 31/08/2026) Vencimento: 26/09/2026 Brazilian Tax Information: Valor estimado dos tributos IBS e CBS, conforme disposto no art. 12 da Lei Complementar nº 214/2025 (Reforma Tributária sobre Consumo): R$2.88 (1%)</v>
          </cell>
          <cell r="V93">
            <v>287.76</v>
          </cell>
          <cell r="W93">
            <v>5.76</v>
          </cell>
          <cell r="X93">
            <v>0</v>
          </cell>
          <cell r="Y93">
            <v>1.87</v>
          </cell>
          <cell r="Z93">
            <v>8.6300000000000008</v>
          </cell>
          <cell r="AA93">
            <v>2.88</v>
          </cell>
          <cell r="AB93">
            <v>287.76</v>
          </cell>
          <cell r="AC93">
            <v>0</v>
          </cell>
          <cell r="AD93">
            <v>0</v>
          </cell>
          <cell r="AE93" t="str">
            <v>Sim</v>
          </cell>
        </row>
        <row r="94">
          <cell r="F94">
            <v>122273</v>
          </cell>
          <cell r="G94">
            <v>236812</v>
          </cell>
          <cell r="H94">
            <v>54795314000157</v>
          </cell>
          <cell r="I94" t="str">
            <v>FITEX INDUSTRIAL DE MODA LTDA</v>
          </cell>
          <cell r="J94" t="str">
            <v>RUA LOPES TROVAO</v>
          </cell>
          <cell r="K94">
            <v>129</v>
          </cell>
          <cell r="M94" t="str">
            <v>BENFICA</v>
          </cell>
          <cell r="N94" t="str">
            <v>RIO DE JANEIRO</v>
          </cell>
          <cell r="O94" t="str">
            <v>RJ</v>
          </cell>
          <cell r="Q94">
            <v>20920340</v>
          </cell>
          <cell r="R94">
            <v>170102220</v>
          </cell>
          <cell r="S94">
            <v>2</v>
          </cell>
          <cell r="T94">
            <v>2</v>
          </cell>
          <cell r="U94" t="str">
            <v>Antifraude: 3411 - Tarifa:  0,6700 - Total: R$ 2.285,37 Análise Manual Expressa: 477 - Tarifa: 11,0000 - Total: R$ 5.247,00 (Período de apuração: 01/08/2026 à 31/08/2026) Vencimento: 11/10/2026 Brazilian Tax Information: Valor estimado dos tributos IBS e CBS, conforme disposto no art. 12 da Lei Complementar nº 214/2025 (Reforma Tributária sobre Consumo): R$23.32 (1%)</v>
          </cell>
          <cell r="V94">
            <v>7686.09</v>
          </cell>
          <cell r="W94">
            <v>153.72</v>
          </cell>
          <cell r="X94">
            <v>115.29</v>
          </cell>
          <cell r="Y94">
            <v>49.96</v>
          </cell>
          <cell r="Z94">
            <v>230.58</v>
          </cell>
          <cell r="AA94">
            <v>76.86</v>
          </cell>
          <cell r="AB94">
            <v>7686.09</v>
          </cell>
          <cell r="AC94">
            <v>0</v>
          </cell>
          <cell r="AD94">
            <v>0</v>
          </cell>
          <cell r="AE94" t="str">
            <v>Sim</v>
          </cell>
        </row>
        <row r="95">
          <cell r="F95">
            <v>122274</v>
          </cell>
          <cell r="G95">
            <v>236809</v>
          </cell>
          <cell r="H95">
            <v>63294409000188</v>
          </cell>
          <cell r="I95" t="str">
            <v>CR INDUSTRIA COMERCIO DE CONFECCOES LTDA</v>
          </cell>
          <cell r="J95" t="str">
            <v>RUA WALDIR DIOGO</v>
          </cell>
          <cell r="K95">
            <v>95</v>
          </cell>
          <cell r="L95" t="str">
            <v>B</v>
          </cell>
          <cell r="M95" t="str">
            <v>MONDUBIM</v>
          </cell>
          <cell r="N95" t="str">
            <v>FORTALEZA</v>
          </cell>
          <cell r="O95" t="str">
            <v>CE</v>
          </cell>
          <cell r="Q95">
            <v>60764020</v>
          </cell>
          <cell r="R95">
            <v>170102220</v>
          </cell>
          <cell r="S95">
            <v>2</v>
          </cell>
          <cell r="T95">
            <v>2</v>
          </cell>
          <cell r="U95" t="str">
            <v>Analista de Risco: R$ 3.500,00 Emailage: 269 - Tarifa:  0,9900 - Total: R$ 266,31 Antifraude: 271 - Total: R$ 4.131,00 (Cobrança pelo mínimo mensal) Análise Manual Expressa: 32 - Tarifa: 11,9900 - Total: R$ 383,68 (Período de apuração: 01/08/2026 à 31/08/2026) Vencimento: 26/09/2026 Brazilian Tax Information: Valor estimado dos tributos IBS e CBS, conforme disposto no art. 12 da Lei Complementar nº 214/2025 (Reforma Tributária sobre Consumo): R$35.71 (1%)</v>
          </cell>
          <cell r="V95">
            <v>8449.99</v>
          </cell>
          <cell r="W95">
            <v>169</v>
          </cell>
          <cell r="X95">
            <v>126.75</v>
          </cell>
          <cell r="Y95">
            <v>54.92</v>
          </cell>
          <cell r="Z95">
            <v>253.5</v>
          </cell>
          <cell r="AA95">
            <v>84.5</v>
          </cell>
          <cell r="AB95">
            <v>8449.99</v>
          </cell>
          <cell r="AC95">
            <v>0</v>
          </cell>
          <cell r="AD95">
            <v>0</v>
          </cell>
          <cell r="AE95" t="str">
            <v>Sim</v>
          </cell>
        </row>
        <row r="96">
          <cell r="F96">
            <v>122275</v>
          </cell>
          <cell r="G96">
            <v>236828</v>
          </cell>
          <cell r="H96">
            <v>6626253000151</v>
          </cell>
          <cell r="I96" t="str">
            <v>EMPREENDIMENTOS PAGUE MENOS S/A</v>
          </cell>
          <cell r="J96" t="str">
            <v>RUA SENADOR POMPEU</v>
          </cell>
          <cell r="K96">
            <v>1520</v>
          </cell>
          <cell r="M96" t="str">
            <v>CENTRO</v>
          </cell>
          <cell r="N96" t="str">
            <v>FORTALEZA</v>
          </cell>
          <cell r="O96" t="str">
            <v>CE</v>
          </cell>
          <cell r="Q96">
            <v>60025002</v>
          </cell>
          <cell r="R96">
            <v>170102220</v>
          </cell>
          <cell r="S96">
            <v>2</v>
          </cell>
          <cell r="T96">
            <v>2</v>
          </cell>
          <cell r="U96" t="str">
            <v>Analista de Risco: R$ 13.992,00 Credilink: 5165 - Tarifa:  0,1749 - Total: R$ 903,36 Emailage: 7259 - Tarifa:  0,1749 - Total: R$ 1.269,60 Antifraude: 13276 - Total: R$ 110.000,00 (Cobrança pelo mínimo mensal) Serviço de Validação de Dados: 5269 - Tarifa:  0,1749 - Total: R$ 921,55 Análise Manual Expressa: 894 - Tarifa: 8,5000 - Total: R$ 7.599,00 (Período de apuração: 01/08/2026 à 31/08/2026) Vencimento: 16/10/2026 Brazilian Tax Information: Valor estimado dos tributos IBS e CBS, conforme disposto no art. 12 da Lei Complementar nº 214/2025 (Reforma Tributária sobre Consumo): R$142.78 (1%)</v>
          </cell>
          <cell r="V96">
            <v>137434.20000000001</v>
          </cell>
          <cell r="W96">
            <v>2748.68</v>
          </cell>
          <cell r="X96">
            <v>2061.5100000000002</v>
          </cell>
          <cell r="Y96">
            <v>893.31</v>
          </cell>
          <cell r="Z96">
            <v>4123.03</v>
          </cell>
          <cell r="AA96">
            <v>1374.35</v>
          </cell>
          <cell r="AB96">
            <v>137434.20000000001</v>
          </cell>
          <cell r="AC96">
            <v>0</v>
          </cell>
          <cell r="AD96">
            <v>0</v>
          </cell>
          <cell r="AE96" t="str">
            <v>Sim</v>
          </cell>
        </row>
        <row r="97">
          <cell r="F97">
            <v>122276</v>
          </cell>
          <cell r="G97">
            <v>236840</v>
          </cell>
          <cell r="H97">
            <v>14005431000155</v>
          </cell>
          <cell r="I97" t="str">
            <v>E.H. CAMARGO LTDA</v>
          </cell>
          <cell r="J97" t="str">
            <v>RUA TERCILIA TREVISAM</v>
          </cell>
          <cell r="K97">
            <v>316</v>
          </cell>
          <cell r="M97" t="str">
            <v>JARDIM SAO PEDRO</v>
          </cell>
          <cell r="N97" t="str">
            <v>PEDREIRA</v>
          </cell>
          <cell r="O97" t="str">
            <v>SP</v>
          </cell>
          <cell r="Q97">
            <v>13922002</v>
          </cell>
          <cell r="R97">
            <v>170102220</v>
          </cell>
          <cell r="S97">
            <v>2</v>
          </cell>
          <cell r="T97">
            <v>2</v>
          </cell>
          <cell r="U97" t="str">
            <v>Antifraude: 698 - Tarifa:  0,7500 - Total: R$ 523,50 (Período de apuração: 01/08/2026 à 31/08/2026) Vencimento: 26/09/2026 Brazilian Tax Information: Valor estimado dos tributos IBS e CBS, conforme disposto no art. 12 da Lei Complementar nº 214/2025 (Reforma Tributária sobre Consumo): R$5.34 (1%)</v>
          </cell>
          <cell r="V97">
            <v>534.17999999999995</v>
          </cell>
          <cell r="W97">
            <v>10.68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534.17999999999995</v>
          </cell>
          <cell r="AC97">
            <v>0</v>
          </cell>
          <cell r="AD97">
            <v>0</v>
          </cell>
          <cell r="AE97" t="str">
            <v>Sim</v>
          </cell>
        </row>
        <row r="98">
          <cell r="F98">
            <v>122277</v>
          </cell>
          <cell r="G98">
            <v>236826</v>
          </cell>
          <cell r="H98">
            <v>18978214000100</v>
          </cell>
          <cell r="I98" t="str">
            <v>AGROPECUARIA PARDINHO LTDA</v>
          </cell>
          <cell r="J98" t="str">
            <v>RODOVIA CASTELO BRANCO - PARDINHO</v>
          </cell>
          <cell r="K98" t="str">
            <v>S/N</v>
          </cell>
          <cell r="L98" t="str">
            <v>KM 7 PRD 3 57</v>
          </cell>
          <cell r="M98" t="str">
            <v>FAZENDA BELA VISTA</v>
          </cell>
          <cell r="N98" t="str">
            <v>PARDINHO</v>
          </cell>
          <cell r="O98" t="str">
            <v>SP</v>
          </cell>
          <cell r="Q98">
            <v>18640000</v>
          </cell>
          <cell r="R98">
            <v>170102220</v>
          </cell>
          <cell r="S98">
            <v>2</v>
          </cell>
          <cell r="T98">
            <v>2</v>
          </cell>
          <cell r="U98" t="str">
            <v>Antifraude: 4 - Total: R$ 174,90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v>
          </cell>
          <cell r="V98">
            <v>178.47</v>
          </cell>
          <cell r="W98">
            <v>3.57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178.47</v>
          </cell>
          <cell r="AC98">
            <v>0</v>
          </cell>
          <cell r="AD98">
            <v>0</v>
          </cell>
          <cell r="AE98" t="str">
            <v>Sim</v>
          </cell>
        </row>
        <row r="99">
          <cell r="F99">
            <v>122278</v>
          </cell>
          <cell r="G99">
            <v>236835</v>
          </cell>
          <cell r="H99">
            <v>11856283000194</v>
          </cell>
          <cell r="I99" t="str">
            <v>ENGARRAFAMENTO PITU LTDA</v>
          </cell>
          <cell r="J99" t="str">
            <v>AVENIDA AUREA FERRER DE MORAES</v>
          </cell>
          <cell r="K99" t="str">
            <v>S/N</v>
          </cell>
          <cell r="L99" t="str">
            <v>KM 55,5</v>
          </cell>
          <cell r="M99" t="str">
            <v>CAMPINAS</v>
          </cell>
          <cell r="N99" t="str">
            <v>VITORIA DE SANTO ANTAO</v>
          </cell>
          <cell r="O99" t="str">
            <v>PE</v>
          </cell>
          <cell r="Q99">
            <v>55607010</v>
          </cell>
          <cell r="R99">
            <v>170102220</v>
          </cell>
          <cell r="S99">
            <v>2</v>
          </cell>
          <cell r="T99">
            <v>2</v>
          </cell>
          <cell r="U99" t="str">
            <v>Antifraude: 118 - Total: R$ 166,87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v>
          </cell>
          <cell r="V99">
            <v>170.28</v>
          </cell>
          <cell r="W99">
            <v>3.41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170.28</v>
          </cell>
          <cell r="AC99">
            <v>0</v>
          </cell>
          <cell r="AD99">
            <v>0</v>
          </cell>
          <cell r="AE99" t="str">
            <v>Sim</v>
          </cell>
        </row>
        <row r="100">
          <cell r="F100">
            <v>122279</v>
          </cell>
          <cell r="G100">
            <v>236827</v>
          </cell>
          <cell r="H100">
            <v>4591034000159</v>
          </cell>
          <cell r="I100" t="str">
            <v>EUROCONSUMERS - BRASIL / EUROCONSUMERS - BRASIL / PROTESTE -</v>
          </cell>
          <cell r="J100" t="str">
            <v>AVENIDA DAS AMERICAS</v>
          </cell>
          <cell r="K100">
            <v>3443</v>
          </cell>
          <cell r="L100" t="str">
            <v>BLC 3 SAL 202</v>
          </cell>
          <cell r="M100" t="str">
            <v>BARRA DA TIJUCA</v>
          </cell>
          <cell r="N100" t="str">
            <v>RIO DE JANEIRO</v>
          </cell>
          <cell r="O100" t="str">
            <v>RJ</v>
          </cell>
          <cell r="Q100">
            <v>22631003</v>
          </cell>
          <cell r="R100">
            <v>170102220</v>
          </cell>
          <cell r="S100">
            <v>2</v>
          </cell>
          <cell r="T100">
            <v>2</v>
          </cell>
          <cell r="U100" t="str">
            <v>Antifraude: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v>
          </cell>
          <cell r="V100">
            <v>465.36</v>
          </cell>
          <cell r="W100">
            <v>9.31</v>
          </cell>
          <cell r="X100">
            <v>0</v>
          </cell>
          <cell r="Y100">
            <v>3.02</v>
          </cell>
          <cell r="Z100">
            <v>13.96</v>
          </cell>
          <cell r="AA100">
            <v>4.6500000000000004</v>
          </cell>
          <cell r="AB100">
            <v>465.36</v>
          </cell>
          <cell r="AC100">
            <v>0</v>
          </cell>
          <cell r="AD100">
            <v>0</v>
          </cell>
          <cell r="AE100" t="str">
            <v>Sim</v>
          </cell>
        </row>
        <row r="101">
          <cell r="F101">
            <v>122280</v>
          </cell>
          <cell r="G101">
            <v>236842</v>
          </cell>
          <cell r="H101">
            <v>33495771000156</v>
          </cell>
          <cell r="I101" t="str">
            <v>DISTRIBUIDORA RECORD DE SERVICOS DE IMPRENSA S A</v>
          </cell>
          <cell r="J101" t="str">
            <v>RUA ARGENTINA</v>
          </cell>
          <cell r="K101">
            <v>35</v>
          </cell>
          <cell r="L101" t="str">
            <v>E 171</v>
          </cell>
          <cell r="M101" t="str">
            <v>SAO CRISTOVAO</v>
          </cell>
          <cell r="N101" t="str">
            <v>RIO DE JANEIRO</v>
          </cell>
          <cell r="O101" t="str">
            <v>RJ</v>
          </cell>
          <cell r="Q101">
            <v>20921380</v>
          </cell>
          <cell r="R101">
            <v>170102220</v>
          </cell>
          <cell r="S101">
            <v>2</v>
          </cell>
          <cell r="T101">
            <v>2</v>
          </cell>
          <cell r="U101" t="str">
            <v>Antifraude: 92 - Total: R$ 256,43 (Cobrança pelo mínimo mensal) (Período de apuração: 01/08/2026 à 31/08/2026) Vencimento: 26/09/2026 Brazilian Tax Information: Valor estimado dos tributos IBS e CBS, conforme disposto no art. 12 da Lei Complementar nº 214/2025 (Reforma Tributária sobre Consumo): R$2.62 (1%)</v>
          </cell>
          <cell r="V101">
            <v>261.66000000000003</v>
          </cell>
          <cell r="W101">
            <v>5.23</v>
          </cell>
          <cell r="X101">
            <v>0</v>
          </cell>
          <cell r="Y101">
            <v>1.7</v>
          </cell>
          <cell r="Z101">
            <v>7.85</v>
          </cell>
          <cell r="AA101">
            <v>2.62</v>
          </cell>
          <cell r="AB101">
            <v>261.66000000000003</v>
          </cell>
          <cell r="AC101">
            <v>0</v>
          </cell>
          <cell r="AD101">
            <v>0</v>
          </cell>
          <cell r="AE101" t="str">
            <v>Sim</v>
          </cell>
        </row>
        <row r="102">
          <cell r="F102">
            <v>122281</v>
          </cell>
          <cell r="G102">
            <v>236870</v>
          </cell>
          <cell r="H102">
            <v>3439316000172</v>
          </cell>
          <cell r="I102" t="str">
            <v>CONSTRUDECOR S/A</v>
          </cell>
          <cell r="J102" t="str">
            <v>RUA DOS PATRIOTAS</v>
          </cell>
          <cell r="K102">
            <v>1213</v>
          </cell>
          <cell r="M102" t="str">
            <v>IPIRANGA</v>
          </cell>
          <cell r="N102" t="str">
            <v>SAO PAULO</v>
          </cell>
          <cell r="O102" t="str">
            <v>SP</v>
          </cell>
          <cell r="Q102">
            <v>4207040</v>
          </cell>
          <cell r="R102">
            <v>170102220</v>
          </cell>
          <cell r="S102">
            <v>2</v>
          </cell>
          <cell r="T102">
            <v>2</v>
          </cell>
          <cell r="U102" t="str">
            <v>Analista de Risco: R$ 4.683,49 Antifraude: 5290 - Total: R$ 3.400,69 (Cobrança pelo mínimo mensal) Análise Manual: 247 - Tarifa: 9,1432 - Total: R$ 2.258,37 (Período de apuração: 01/08/2026 à 31/08/2026) Vencimento: 26/09/2026 Brazilian Tax Information: Valor estimado dos tributos IBS e CBS, conforme disposto no art. 12 da Lei Complementar nº 214/2025 (Reforma Tributária sobre Consumo): R$47.79 (1%)</v>
          </cell>
          <cell r="V102">
            <v>10553.62</v>
          </cell>
          <cell r="W102">
            <v>211.07</v>
          </cell>
          <cell r="X102">
            <v>158.31</v>
          </cell>
          <cell r="Y102">
            <v>68.599999999999994</v>
          </cell>
          <cell r="Z102">
            <v>316.60000000000002</v>
          </cell>
          <cell r="AA102">
            <v>105.53</v>
          </cell>
          <cell r="AB102">
            <v>10553.62</v>
          </cell>
          <cell r="AC102">
            <v>0</v>
          </cell>
          <cell r="AD102">
            <v>0</v>
          </cell>
          <cell r="AE102" t="str">
            <v>Sim</v>
          </cell>
        </row>
        <row r="103">
          <cell r="F103">
            <v>122282</v>
          </cell>
          <cell r="G103">
            <v>236877</v>
          </cell>
          <cell r="H103">
            <v>60621596000179</v>
          </cell>
          <cell r="I103" t="str">
            <v>AGAXTUR AGENCIA DE VIAGENS E TURISMO S.A</v>
          </cell>
          <cell r="J103" t="str">
            <v>RUA FREI CANECA</v>
          </cell>
          <cell r="K103">
            <v>1246</v>
          </cell>
          <cell r="L103" t="str">
            <v>CONJ 101 E 102</v>
          </cell>
          <cell r="M103" t="str">
            <v>CONSOLACAO</v>
          </cell>
          <cell r="N103" t="str">
            <v>SAO PAULO</v>
          </cell>
          <cell r="O103" t="str">
            <v>SP</v>
          </cell>
          <cell r="Q103">
            <v>1307002</v>
          </cell>
          <cell r="R103">
            <v>170102220</v>
          </cell>
          <cell r="S103">
            <v>2</v>
          </cell>
          <cell r="T103">
            <v>2</v>
          </cell>
          <cell r="U103" t="str">
            <v>AntiFraude: Transações: 0 - Total: R$ 431,87 (Cobrança pelo mínimo mensal) (Período de apuração: 01/08/2026 à 31/08/2026) Vencimento: 08/10/2026 Brazilian Tax Information: Valor estimado dos tributos IBS e CBS, conforme disposto no art. 12 da Lei Complementar nº 214/2025 (Reforma Tributária sobre Consumo): R$4.41 (1%)</v>
          </cell>
          <cell r="V103">
            <v>440.68</v>
          </cell>
          <cell r="W103">
            <v>8.81</v>
          </cell>
          <cell r="X103">
            <v>0</v>
          </cell>
          <cell r="Y103">
            <v>2.86</v>
          </cell>
          <cell r="Z103">
            <v>13.22</v>
          </cell>
          <cell r="AA103">
            <v>4.41</v>
          </cell>
          <cell r="AB103">
            <v>440.68</v>
          </cell>
          <cell r="AC103">
            <v>0</v>
          </cell>
          <cell r="AD103">
            <v>0</v>
          </cell>
          <cell r="AE103" t="str">
            <v>Sim</v>
          </cell>
        </row>
        <row r="104">
          <cell r="F104">
            <v>122283</v>
          </cell>
          <cell r="G104">
            <v>236901</v>
          </cell>
          <cell r="H104">
            <v>9317212000171</v>
          </cell>
          <cell r="I104" t="str">
            <v>ELITE TRAVEL ASSESSORIA DE VIAGEM E OPERADORA TURISTICA LTDA</v>
          </cell>
          <cell r="J104" t="str">
            <v>RUA SAO FRANCISCO</v>
          </cell>
          <cell r="K104">
            <v>38</v>
          </cell>
          <cell r="L104" t="str">
            <v>1. E 2. AN DAR</v>
          </cell>
          <cell r="M104" t="str">
            <v>BAU</v>
          </cell>
          <cell r="N104" t="str">
            <v>CUIABA</v>
          </cell>
          <cell r="O104" t="str">
            <v>MT</v>
          </cell>
          <cell r="Q104">
            <v>78008095</v>
          </cell>
          <cell r="R104">
            <v>170102220</v>
          </cell>
          <cell r="S104">
            <v>2</v>
          </cell>
          <cell r="T104">
            <v>2</v>
          </cell>
          <cell r="U104" t="str">
            <v>AntiFraude: Transações: 0 - Total: R$ 402,06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v>
          </cell>
          <cell r="V104">
            <v>410.27</v>
          </cell>
          <cell r="W104">
            <v>8.2100000000000009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410.27</v>
          </cell>
          <cell r="AC104">
            <v>0</v>
          </cell>
          <cell r="AD104">
            <v>0</v>
          </cell>
          <cell r="AE104" t="str">
            <v>Sim</v>
          </cell>
        </row>
        <row r="105">
          <cell r="F105">
            <v>122284</v>
          </cell>
          <cell r="G105">
            <v>236879</v>
          </cell>
          <cell r="H105">
            <v>11522823000101</v>
          </cell>
          <cell r="I105" t="str">
            <v>BEFLY CONECTA AGENCIA DE VIAGENS ETURISMO LTDA</v>
          </cell>
          <cell r="J105" t="str">
            <v>ALAMEDA CAMPINAS</v>
          </cell>
          <cell r="K105">
            <v>1070</v>
          </cell>
          <cell r="L105" t="str">
            <v>EDIF PAULI STA STAR</v>
          </cell>
          <cell r="M105" t="str">
            <v>JARDIM PAULISTA</v>
          </cell>
          <cell r="N105" t="str">
            <v>SAO PAULO</v>
          </cell>
          <cell r="O105" t="str">
            <v>SP</v>
          </cell>
          <cell r="Q105">
            <v>1404200</v>
          </cell>
          <cell r="R105">
            <v>170102220</v>
          </cell>
          <cell r="S105">
            <v>2</v>
          </cell>
          <cell r="T105">
            <v>2</v>
          </cell>
          <cell r="U105" t="str">
            <v>AntiFraude: Transações: 0 - Total: R$ 481,70 (Cobrança pelo mínimo mensal) (Período de apuração: 01/08/2026 à 31/08/2026) Vencimento: 26/09/2026 Brazilian Tax Information: Valor estimado dos tributos IBS e CBS, conforme disposto no art. 12 da Lei Complementar nº 214/2025 (Reforma Tributária sobre Consumo): R$4.92 (1%)</v>
          </cell>
          <cell r="V105">
            <v>491.53</v>
          </cell>
          <cell r="W105">
            <v>9.83</v>
          </cell>
          <cell r="X105">
            <v>0</v>
          </cell>
          <cell r="Y105">
            <v>3.19</v>
          </cell>
          <cell r="Z105">
            <v>14.75</v>
          </cell>
          <cell r="AA105">
            <v>4.92</v>
          </cell>
          <cell r="AB105">
            <v>491.53</v>
          </cell>
          <cell r="AC105">
            <v>0</v>
          </cell>
          <cell r="AD105">
            <v>0</v>
          </cell>
          <cell r="AE105" t="str">
            <v>Sim</v>
          </cell>
        </row>
        <row r="106">
          <cell r="F106">
            <v>122285</v>
          </cell>
          <cell r="G106">
            <v>236914</v>
          </cell>
          <cell r="H106">
            <v>24073694000155</v>
          </cell>
          <cell r="I106" t="str">
            <v>CIL - COMERCIO DE INFORMATICA LTDA</v>
          </cell>
          <cell r="J106" t="str">
            <v>RUA JORNALISTA MURILO MARROQUIM</v>
          </cell>
          <cell r="K106">
            <v>220</v>
          </cell>
          <cell r="M106" t="str">
            <v>VARZEA</v>
          </cell>
          <cell r="N106" t="str">
            <v>RECIFE</v>
          </cell>
          <cell r="O106" t="str">
            <v>PE</v>
          </cell>
          <cell r="Q106">
            <v>50950170</v>
          </cell>
          <cell r="R106">
            <v>170102220</v>
          </cell>
          <cell r="S106">
            <v>2</v>
          </cell>
          <cell r="T106">
            <v>2</v>
          </cell>
          <cell r="U106" t="str">
            <v>AntiFraude: Transações: 0 - Total: R$ 328,44 (Cobrança pelo mínimo mensal) (Período de apuração: 01/08/2026 à 31/08/2026) Vencimento: 26/09/2026 Brazilian Tax Information: Valor estimado dos tributos IBS e CBS, conforme disposto no art. 12 da Lei Complementar nº 214/2025 (Reforma Tributária sobre Consumo): R$3.35 (1%)</v>
          </cell>
          <cell r="V106">
            <v>335.14</v>
          </cell>
          <cell r="W106">
            <v>6.7</v>
          </cell>
          <cell r="X106">
            <v>0</v>
          </cell>
          <cell r="Y106">
            <v>2.1800000000000002</v>
          </cell>
          <cell r="Z106">
            <v>10.050000000000001</v>
          </cell>
          <cell r="AA106">
            <v>3.35</v>
          </cell>
          <cell r="AB106">
            <v>335.14</v>
          </cell>
          <cell r="AC106">
            <v>0</v>
          </cell>
          <cell r="AD106">
            <v>0</v>
          </cell>
          <cell r="AE106" t="str">
            <v>Sim</v>
          </cell>
        </row>
        <row r="107">
          <cell r="F107">
            <v>122286</v>
          </cell>
          <cell r="G107">
            <v>236892</v>
          </cell>
          <cell r="H107">
            <v>13507575000147</v>
          </cell>
          <cell r="I107" t="str">
            <v>AVIAREPS ASSESSORIA EM TURISMO LTDA.</v>
          </cell>
          <cell r="J107" t="str">
            <v>RUA DOUTOR RAFAEL DE BARROS</v>
          </cell>
          <cell r="K107">
            <v>210</v>
          </cell>
          <cell r="L107" t="str">
            <v>CONJ 41 E 42</v>
          </cell>
          <cell r="M107" t="str">
            <v>PARAISO</v>
          </cell>
          <cell r="N107" t="str">
            <v>SAO PAULO</v>
          </cell>
          <cell r="O107" t="str">
            <v>SP</v>
          </cell>
          <cell r="Q107">
            <v>4003041</v>
          </cell>
          <cell r="R107">
            <v>170102220</v>
          </cell>
          <cell r="S107">
            <v>2</v>
          </cell>
          <cell r="T107">
            <v>2</v>
          </cell>
          <cell r="U107" t="str">
            <v>AntiFraude: Transações: 0 - Total: R$ 331,91 (Cobrança pelo mínimo mensal) (Período de apuração: 01/08/2026 à 31/08/2026) Vencimento: 26/09/2026 Brazilian Tax Information: Valor estimado dos tributos IBS e CBS, conforme disposto no art. 12 da Lei Complementar nº 214/2025 (Reforma Tributária sobre Consumo): R$3.39 (1%)</v>
          </cell>
          <cell r="V107">
            <v>338.68</v>
          </cell>
          <cell r="W107">
            <v>6.77</v>
          </cell>
          <cell r="X107">
            <v>0</v>
          </cell>
          <cell r="Y107">
            <v>2.2000000000000002</v>
          </cell>
          <cell r="Z107">
            <v>10.16</v>
          </cell>
          <cell r="AA107">
            <v>3.39</v>
          </cell>
          <cell r="AB107">
            <v>338.68</v>
          </cell>
          <cell r="AC107">
            <v>0</v>
          </cell>
          <cell r="AD107">
            <v>0</v>
          </cell>
          <cell r="AE107" t="str">
            <v>Sim</v>
          </cell>
        </row>
        <row r="108">
          <cell r="F108">
            <v>122287</v>
          </cell>
          <cell r="G108">
            <v>236878</v>
          </cell>
          <cell r="H108">
            <v>3690751000175</v>
          </cell>
          <cell r="I108" t="str">
            <v>BAZAR RIO 2005 CANTINA E ARTIGOS ESCOLARES LTDA</v>
          </cell>
          <cell r="J108" t="str">
            <v>RUA PADRE VENTURA</v>
          </cell>
          <cell r="K108">
            <v>184</v>
          </cell>
          <cell r="L108" t="str">
            <v>PARTE B</v>
          </cell>
          <cell r="M108" t="str">
            <v>TAQUARA</v>
          </cell>
          <cell r="N108" t="str">
            <v>RIO DE JANEIRO</v>
          </cell>
          <cell r="O108" t="str">
            <v>RJ</v>
          </cell>
          <cell r="Q108">
            <v>22710260</v>
          </cell>
          <cell r="R108">
            <v>170102220</v>
          </cell>
          <cell r="S108">
            <v>2</v>
          </cell>
          <cell r="T108">
            <v>2</v>
          </cell>
          <cell r="U108" t="str">
            <v>AntiFraude: Transações: 0 - Total: R$ 308,16 (Cobrança pelo mínimo mensal) (Período de apuração: 01/08/2026 à 31/08/2026) Vencimento: 26/09/2026 Brazilian Tax Information: Valor estimado dos tributos IBS e CBS, conforme disposto no art. 12 da Lei Complementar nº 214/2025 (Reforma Tributária sobre Consumo): R$3.14 (1%)</v>
          </cell>
          <cell r="V108">
            <v>314.45</v>
          </cell>
          <cell r="W108">
            <v>6.29</v>
          </cell>
          <cell r="X108">
            <v>0</v>
          </cell>
          <cell r="Y108">
            <v>2.04</v>
          </cell>
          <cell r="Z108">
            <v>9.43</v>
          </cell>
          <cell r="AA108">
            <v>3.14</v>
          </cell>
          <cell r="AB108">
            <v>314.45</v>
          </cell>
          <cell r="AC108">
            <v>0</v>
          </cell>
          <cell r="AD108">
            <v>0</v>
          </cell>
          <cell r="AE108" t="str">
            <v>Sim</v>
          </cell>
        </row>
        <row r="109">
          <cell r="F109">
            <v>122288</v>
          </cell>
          <cell r="G109">
            <v>236910</v>
          </cell>
          <cell r="H109">
            <v>4908757000139</v>
          </cell>
          <cell r="I109" t="str">
            <v>COSTAO DO SANTINHO TURISMO E LAZERS.A.</v>
          </cell>
          <cell r="J109" t="str">
            <v>ESTRADA VEREADOR ONILDO LEMOS</v>
          </cell>
          <cell r="K109">
            <v>2505</v>
          </cell>
          <cell r="L109" t="str">
            <v>PRAIA DO S ANTINHO</v>
          </cell>
          <cell r="M109" t="str">
            <v>INGLESES DO RIO VERM</v>
          </cell>
          <cell r="N109" t="str">
            <v>FLORIANOPOLIS</v>
          </cell>
          <cell r="O109" t="str">
            <v>SC</v>
          </cell>
          <cell r="Q109">
            <v>88058700</v>
          </cell>
          <cell r="R109">
            <v>170102220</v>
          </cell>
          <cell r="S109">
            <v>2</v>
          </cell>
          <cell r="T109">
            <v>2</v>
          </cell>
          <cell r="U109" t="str">
            <v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v>
          </cell>
          <cell r="V109">
            <v>1020.41</v>
          </cell>
          <cell r="W109">
            <v>20.41</v>
          </cell>
          <cell r="X109">
            <v>15.31</v>
          </cell>
          <cell r="Y109">
            <v>6.63</v>
          </cell>
          <cell r="Z109">
            <v>30.61</v>
          </cell>
          <cell r="AA109">
            <v>10.199999999999999</v>
          </cell>
          <cell r="AB109">
            <v>1020.41</v>
          </cell>
          <cell r="AC109">
            <v>0</v>
          </cell>
          <cell r="AD109">
            <v>0</v>
          </cell>
          <cell r="AE109" t="str">
            <v>Sim</v>
          </cell>
        </row>
        <row r="110">
          <cell r="F110">
            <v>122289</v>
          </cell>
          <cell r="G110">
            <v>236889</v>
          </cell>
          <cell r="H110">
            <v>804304000292</v>
          </cell>
          <cell r="I110" t="str">
            <v>EMBARQUE TURISMO LTDA</v>
          </cell>
          <cell r="J110" t="str">
            <v>AVENIDA CENTENARIO</v>
          </cell>
          <cell r="K110">
            <v>2880</v>
          </cell>
          <cell r="L110" t="str">
            <v>AEROPORTO TERREO SAL</v>
          </cell>
          <cell r="M110" t="str">
            <v>AEROPORTO</v>
          </cell>
          <cell r="N110" t="str">
            <v>TERESINA</v>
          </cell>
          <cell r="O110" t="str">
            <v>PI</v>
          </cell>
          <cell r="Q110">
            <v>64003700</v>
          </cell>
          <cell r="R110">
            <v>170102220</v>
          </cell>
          <cell r="S110">
            <v>2</v>
          </cell>
          <cell r="T110">
            <v>2</v>
          </cell>
          <cell r="U110" t="str">
            <v>AntiFraude: Transações: 0 - Total: R$ 241,25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R$2.46 (1%)</v>
          </cell>
          <cell r="V110">
            <v>246.17</v>
          </cell>
          <cell r="W110">
            <v>4.92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246.17</v>
          </cell>
          <cell r="AC110">
            <v>0</v>
          </cell>
          <cell r="AD110">
            <v>0</v>
          </cell>
          <cell r="AE110" t="str">
            <v>Sim</v>
          </cell>
        </row>
        <row r="111">
          <cell r="F111">
            <v>122290</v>
          </cell>
          <cell r="G111">
            <v>236909</v>
          </cell>
          <cell r="H111">
            <v>1020029000106</v>
          </cell>
          <cell r="I111" t="str">
            <v>EUROP ASSISTANCE BRASIL SERVICOS DE ASSISTENCIA S/A.</v>
          </cell>
          <cell r="J111" t="str">
            <v>AVENIDA JURUA</v>
          </cell>
          <cell r="K111">
            <v>320</v>
          </cell>
          <cell r="M111" t="str">
            <v>ALPHAVILLE INDUSTRIAL</v>
          </cell>
          <cell r="N111" t="str">
            <v>BARUERI</v>
          </cell>
          <cell r="O111" t="str">
            <v>SP</v>
          </cell>
          <cell r="Q111">
            <v>6455010</v>
          </cell>
          <cell r="R111">
            <v>170102220</v>
          </cell>
          <cell r="S111">
            <v>2</v>
          </cell>
          <cell r="T111">
            <v>2</v>
          </cell>
          <cell r="U111" t="str">
            <v>AntiFraude: Transações: 0 - Total: R$ 251,07 (Cobrança pelo mínimo mensal) (Período de apuração: 01/08/2026 à 31/08/2026) Vencimento: 11/10/2026 Brazilian Tax Information: Valor estimado dos tributos IBS e CBS, conforme disposto no art. 12 da Lei Complementar nº 214/2025 (Reforma Tributária sobre Consumo): R$2.56 (1%)</v>
          </cell>
          <cell r="V111">
            <v>256.19</v>
          </cell>
          <cell r="W111">
            <v>5.12</v>
          </cell>
          <cell r="X111">
            <v>0</v>
          </cell>
          <cell r="Y111">
            <v>1.67</v>
          </cell>
          <cell r="Z111">
            <v>7.69</v>
          </cell>
          <cell r="AA111">
            <v>2.56</v>
          </cell>
          <cell r="AB111">
            <v>256.19</v>
          </cell>
          <cell r="AC111">
            <v>0</v>
          </cell>
          <cell r="AD111">
            <v>0</v>
          </cell>
          <cell r="AE111" t="str">
            <v>Sim</v>
          </cell>
        </row>
        <row r="112">
          <cell r="F112">
            <v>122291</v>
          </cell>
          <cell r="G112">
            <v>236900</v>
          </cell>
          <cell r="H112">
            <v>31925548000176</v>
          </cell>
          <cell r="I112" t="str">
            <v>GRUPO HOSPITALAR DO RIO DE JANEIROLTDA.</v>
          </cell>
          <cell r="J112" t="str">
            <v>AVENIDA PRESIDENTE VARGAS</v>
          </cell>
          <cell r="K112">
            <v>914</v>
          </cell>
          <cell r="L112" t="str">
            <v>LOJ A LOJ B 310 410</v>
          </cell>
          <cell r="M112" t="str">
            <v>CENTRO</v>
          </cell>
          <cell r="N112" t="str">
            <v>RIO DE JANEIRO</v>
          </cell>
          <cell r="O112" t="str">
            <v>RJ</v>
          </cell>
          <cell r="Q112">
            <v>20071001</v>
          </cell>
          <cell r="R112">
            <v>170102220</v>
          </cell>
          <cell r="S112">
            <v>2</v>
          </cell>
          <cell r="T112">
            <v>2</v>
          </cell>
          <cell r="U112" t="str">
            <v>AntiFraude: Transações: 0 - Total: R$ 551,44 (Cobrança pelo mínimo mensal) (Período de apuração: 01/08/2026 à 31/08/2026) Vencimento: 26/09/2026 Brazilian Tax Information: Valor estimado dos tributos IBS e CBS, conforme disposto no art. 12 da Lei Complementar nº 214/2025 (Reforma Tributária sobre Consumo): R$5.63 (1%)</v>
          </cell>
          <cell r="V112">
            <v>562.69000000000005</v>
          </cell>
          <cell r="W112">
            <v>11.25</v>
          </cell>
          <cell r="X112">
            <v>0</v>
          </cell>
          <cell r="Y112">
            <v>3.66</v>
          </cell>
          <cell r="Z112">
            <v>16.88</v>
          </cell>
          <cell r="AA112">
            <v>5.63</v>
          </cell>
          <cell r="AB112">
            <v>562.69000000000005</v>
          </cell>
          <cell r="AC112">
            <v>0</v>
          </cell>
          <cell r="AD112">
            <v>0</v>
          </cell>
          <cell r="AE112" t="str">
            <v>Sim</v>
          </cell>
        </row>
        <row r="113">
          <cell r="F113">
            <v>122292</v>
          </cell>
          <cell r="G113">
            <v>236887</v>
          </cell>
          <cell r="H113">
            <v>33054115000118</v>
          </cell>
          <cell r="I113" t="str">
            <v>AVIPAM VIAGENS E TURISMO LTDA</v>
          </cell>
          <cell r="J113" t="str">
            <v>RUA DA ASSEMBLEIA</v>
          </cell>
          <cell r="K113">
            <v>51</v>
          </cell>
          <cell r="L113" t="str">
            <v>E 51A 8 E 9 AND</v>
          </cell>
          <cell r="M113" t="str">
            <v>CENTRO</v>
          </cell>
          <cell r="N113" t="str">
            <v>RIO DE JANEIRO</v>
          </cell>
          <cell r="O113" t="str">
            <v>RJ</v>
          </cell>
          <cell r="Q113">
            <v>20011001</v>
          </cell>
          <cell r="R113">
            <v>170102220</v>
          </cell>
          <cell r="S113">
            <v>2</v>
          </cell>
          <cell r="T113">
            <v>2</v>
          </cell>
          <cell r="U113" t="str">
            <v>AntiFraude: Transações: 0 - Total: R$ 228,23 (Cobrança pelo mínimo mensal) (Período de apuração: 01/08/2026 à 31/08/2026) Vencimento: 26/09/2026 Brazilian Tax Information: Valor estimado dos tributos IBS e CBS, conforme disposto no art. 12 da Lei Complementar nº 214/2025 (Reforma Tributária sobre Consumo): R$2.33 (1%)</v>
          </cell>
          <cell r="V113">
            <v>232.89</v>
          </cell>
          <cell r="W113">
            <v>4.66</v>
          </cell>
          <cell r="X113">
            <v>0</v>
          </cell>
          <cell r="Y113">
            <v>1.51</v>
          </cell>
          <cell r="Z113">
            <v>6.99</v>
          </cell>
          <cell r="AA113">
            <v>2.33</v>
          </cell>
          <cell r="AB113">
            <v>232.89</v>
          </cell>
          <cell r="AC113">
            <v>0</v>
          </cell>
          <cell r="AD113">
            <v>0</v>
          </cell>
          <cell r="AE113" t="str">
            <v>Sim</v>
          </cell>
        </row>
        <row r="114">
          <cell r="F114">
            <v>122293</v>
          </cell>
          <cell r="G114">
            <v>236902</v>
          </cell>
          <cell r="H114">
            <v>24594117000109</v>
          </cell>
          <cell r="I114" t="str">
            <v>BOOZ OPERADORA DE VIAGENS LTDA</v>
          </cell>
          <cell r="J114" t="str">
            <v>AVENIDA DAS ACACIAS</v>
          </cell>
          <cell r="K114">
            <v>1481</v>
          </cell>
          <cell r="M114" t="str">
            <v>SETOR COMERCIAL</v>
          </cell>
          <cell r="N114" t="str">
            <v>SINOP</v>
          </cell>
          <cell r="O114" t="str">
            <v>MT</v>
          </cell>
          <cell r="Q114">
            <v>78550212</v>
          </cell>
          <cell r="R114">
            <v>170102220</v>
          </cell>
          <cell r="S114">
            <v>2</v>
          </cell>
          <cell r="T114">
            <v>2</v>
          </cell>
          <cell r="U114" t="str">
            <v>AntiFraude: Transações: 0 - Total: R$ 258,47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v>
          </cell>
          <cell r="V114">
            <v>263.74</v>
          </cell>
          <cell r="W114">
            <v>5.27</v>
          </cell>
          <cell r="X114">
            <v>0</v>
          </cell>
          <cell r="Y114">
            <v>1.71</v>
          </cell>
          <cell r="Z114">
            <v>7.91</v>
          </cell>
          <cell r="AA114">
            <v>2.64</v>
          </cell>
          <cell r="AB114">
            <v>263.74</v>
          </cell>
          <cell r="AC114">
            <v>0</v>
          </cell>
          <cell r="AD114">
            <v>0</v>
          </cell>
          <cell r="AE114" t="str">
            <v>Sim</v>
          </cell>
        </row>
        <row r="115">
          <cell r="F115">
            <v>122294</v>
          </cell>
          <cell r="G115">
            <v>236919</v>
          </cell>
          <cell r="H115">
            <v>33795303000105</v>
          </cell>
          <cell r="I115" t="str">
            <v>ARRAIAL CANA BRAVA HOTEL LTDA</v>
          </cell>
          <cell r="J115" t="str">
            <v>AVENIDA TANCREDO NEVES</v>
          </cell>
          <cell r="K115" t="str">
            <v>S/N</v>
          </cell>
          <cell r="L115" t="str">
            <v>KM 24 ROD. ILHEUS CA</v>
          </cell>
          <cell r="M115" t="str">
            <v>OLIVENCA</v>
          </cell>
          <cell r="N115" t="str">
            <v>ILHEUS</v>
          </cell>
          <cell r="O115" t="str">
            <v>BA</v>
          </cell>
          <cell r="Q115">
            <v>45660500</v>
          </cell>
          <cell r="R115">
            <v>170102220</v>
          </cell>
          <cell r="S115">
            <v>2</v>
          </cell>
          <cell r="T115">
            <v>2</v>
          </cell>
          <cell r="U115" t="str">
            <v>AntiFraude: Transações: 0 - Total: R$ 219,06 (Cobrança pelo mínimo mensal) (Período de apuração: 01/08/2026 à 31/08/2026) Vencimento: 26/09/2026 Brazilian Tax Information: Valor estimado dos tributos IBS e CBS, conforme disposto no art. 12 da Lei Complementar nº 214/2025 (Reforma Tributária sobre Consumo): R$2.24 (1%)</v>
          </cell>
          <cell r="V115">
            <v>223.53</v>
          </cell>
          <cell r="W115">
            <v>4.47</v>
          </cell>
          <cell r="X115">
            <v>0</v>
          </cell>
          <cell r="Y115">
            <v>1.45</v>
          </cell>
          <cell r="Z115">
            <v>6.71</v>
          </cell>
          <cell r="AA115">
            <v>2.2400000000000002</v>
          </cell>
          <cell r="AB115">
            <v>223.53</v>
          </cell>
          <cell r="AC115">
            <v>0</v>
          </cell>
          <cell r="AD115">
            <v>0</v>
          </cell>
          <cell r="AE115" t="str">
            <v>Sim</v>
          </cell>
        </row>
        <row r="116">
          <cell r="F116">
            <v>122295</v>
          </cell>
          <cell r="G116">
            <v>236888</v>
          </cell>
          <cell r="H116">
            <v>88887021000111</v>
          </cell>
          <cell r="I116" t="str">
            <v>CALCADOS MARTE LTDA</v>
          </cell>
          <cell r="J116" t="str">
            <v>RUA HENRIQUE HOFFMANN</v>
          </cell>
          <cell r="K116">
            <v>3095</v>
          </cell>
          <cell r="M116" t="str">
            <v>IMIGRANTE</v>
          </cell>
          <cell r="N116" t="str">
            <v>NOVA HARTZ</v>
          </cell>
          <cell r="O116" t="str">
            <v>RS</v>
          </cell>
          <cell r="Q116">
            <v>93890000</v>
          </cell>
          <cell r="R116">
            <v>170102220</v>
          </cell>
          <cell r="S116">
            <v>2</v>
          </cell>
          <cell r="T116">
            <v>2</v>
          </cell>
          <cell r="U116" t="str">
            <v>AntiFraude: Transações: 0 - Total: R$ 1.159,39 (Cobrança pelo mínimo mensal) (Período de apuração: 01/08/2026 à 31/08/2026) Vencimento: 26/09/2026 Brazilian Tax Information: Valor estimado dos tributos IBS e CBS, conforme disposto no art. 12 da Lei Complementar nº 214/2025 (Reforma Tributária sobre Consumo): R$11.83 (1%)</v>
          </cell>
          <cell r="V116">
            <v>1183.05</v>
          </cell>
          <cell r="W116">
            <v>23.66</v>
          </cell>
          <cell r="X116">
            <v>17.75</v>
          </cell>
          <cell r="Y116">
            <v>7.69</v>
          </cell>
          <cell r="Z116">
            <v>35.49</v>
          </cell>
          <cell r="AA116">
            <v>11.83</v>
          </cell>
          <cell r="AB116">
            <v>1183.05</v>
          </cell>
          <cell r="AC116">
            <v>0</v>
          </cell>
          <cell r="AD116">
            <v>0</v>
          </cell>
          <cell r="AE116" t="str">
            <v>Sim</v>
          </cell>
        </row>
        <row r="117">
          <cell r="F117">
            <v>122296</v>
          </cell>
          <cell r="G117">
            <v>236907</v>
          </cell>
          <cell r="H117">
            <v>16233389000660</v>
          </cell>
          <cell r="I117" t="str">
            <v>CVLB BRASIL S.A.</v>
          </cell>
          <cell r="J117" t="str">
            <v>AVENIDA VASCO DA GAMA</v>
          </cell>
          <cell r="K117">
            <v>3691</v>
          </cell>
          <cell r="L117" t="str">
            <v>EDIF VASCO DA GAMA P</v>
          </cell>
          <cell r="M117" t="str">
            <v>ACUPE DE BROTAS</v>
          </cell>
          <cell r="N117" t="str">
            <v>SALVADOR</v>
          </cell>
          <cell r="O117" t="str">
            <v>BA</v>
          </cell>
          <cell r="Q117">
            <v>40290350</v>
          </cell>
          <cell r="R117">
            <v>170102220</v>
          </cell>
          <cell r="S117">
            <v>2</v>
          </cell>
          <cell r="T117">
            <v>2</v>
          </cell>
          <cell r="U117" t="str">
            <v>AntiFraude: Transações: 0 - Total: R$ 174,75 (Cobrança pelo mínimo mensal) (Período de apuração: 01/08/2026 à 31/08/2026) Vencimento: 11/10/2026 Brazilian Tax Information: Valor estimado dos tributos IBS e CBS, conforme disposto no art. 12 da Lei Complementar nº 214/2025 (Reforma Tributária sobre Consumo): R$1.78 (1%)</v>
          </cell>
          <cell r="V117">
            <v>178.32</v>
          </cell>
          <cell r="W117">
            <v>3.57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178.32</v>
          </cell>
          <cell r="AC117">
            <v>0</v>
          </cell>
          <cell r="AD117">
            <v>0</v>
          </cell>
          <cell r="AE117" t="str">
            <v>Sim</v>
          </cell>
        </row>
        <row r="118">
          <cell r="F118">
            <v>122297</v>
          </cell>
          <cell r="G118">
            <v>236912</v>
          </cell>
          <cell r="H118">
            <v>52226073000108</v>
          </cell>
          <cell r="I118" t="str">
            <v>BRASIF S/A EXPORTACAO IMPORTACAO</v>
          </cell>
          <cell r="J118" t="str">
            <v>RUA MARGARIDA ASSIS FONSECA</v>
          </cell>
          <cell r="K118">
            <v>171</v>
          </cell>
          <cell r="L118" t="str">
            <v>PREDIO</v>
          </cell>
          <cell r="M118" t="str">
            <v>CALIFORNIA</v>
          </cell>
          <cell r="N118" t="str">
            <v>BELO HORIZONTE</v>
          </cell>
          <cell r="O118" t="str">
            <v>MG</v>
          </cell>
          <cell r="Q118">
            <v>30855070</v>
          </cell>
          <cell r="R118">
            <v>170102220</v>
          </cell>
          <cell r="S118">
            <v>2</v>
          </cell>
          <cell r="T118">
            <v>2</v>
          </cell>
          <cell r="U118" t="str">
            <v>AntiFraude: Transações: 0 - Total: R$ 540,00 (Cobrança pelo mínimo mensal) Analista de Risco: R$ 4.951,05 (Período de apuração: 01/08/2026 à 31/08/2026) Vencimento: 08/10/2026 Brazilian Tax Information: Valor estimado dos tributos IBS e CBS, conforme disposto no art. 12 da Lei Complementar nº 214/2025 (Reforma Tributária sobre Consumo): R$5.51 (1%)</v>
          </cell>
          <cell r="V118">
            <v>5603.11</v>
          </cell>
          <cell r="W118">
            <v>112.06</v>
          </cell>
          <cell r="X118">
            <v>84.05</v>
          </cell>
          <cell r="Y118">
            <v>36.42</v>
          </cell>
          <cell r="Z118">
            <v>168.09</v>
          </cell>
          <cell r="AA118">
            <v>56.03</v>
          </cell>
          <cell r="AB118">
            <v>5603.11</v>
          </cell>
          <cell r="AC118">
            <v>0</v>
          </cell>
          <cell r="AD118">
            <v>0</v>
          </cell>
          <cell r="AE118" t="str">
            <v>Sim</v>
          </cell>
        </row>
        <row r="119">
          <cell r="F119">
            <v>122298</v>
          </cell>
          <cell r="G119">
            <v>236920</v>
          </cell>
          <cell r="H119">
            <v>40339657000100</v>
          </cell>
          <cell r="I119" t="str">
            <v>BLUMAR/BRAZIL NUTS RIO TURISMO LTDA</v>
          </cell>
          <cell r="J119" t="str">
            <v>RUA SIQUEIRA CAMPOS</v>
          </cell>
          <cell r="K119">
            <v>43</v>
          </cell>
          <cell r="L119" t="str">
            <v>COB 02</v>
          </cell>
          <cell r="M119" t="str">
            <v>COPACABANA</v>
          </cell>
          <cell r="N119" t="str">
            <v>RIO DE JANEIRO</v>
          </cell>
          <cell r="O119" t="str">
            <v>RJ</v>
          </cell>
          <cell r="Q119">
            <v>22031901</v>
          </cell>
          <cell r="R119">
            <v>170102220</v>
          </cell>
          <cell r="S119">
            <v>2</v>
          </cell>
          <cell r="T119">
            <v>2</v>
          </cell>
          <cell r="U119" t="str">
            <v>AntiFraude: Transações: 0 - Total: R$ 257,33 (Cobrança pelo mínimo mensal) (Período de apuração: 01/08/2026 à 31/08/2026) Vencimento: 26/09/2026 Brazilian Tax Information: Valor estimado dos tributos IBS e CBS, conforme disposto no art. 12 da Lei Complementar nº 214/2025 (Reforma Tributária sobre Consumo): R$2.63 (1%)</v>
          </cell>
          <cell r="V119">
            <v>262.58</v>
          </cell>
          <cell r="W119">
            <v>5.25</v>
          </cell>
          <cell r="X119">
            <v>0</v>
          </cell>
          <cell r="Y119">
            <v>1.71</v>
          </cell>
          <cell r="Z119">
            <v>7.88</v>
          </cell>
          <cell r="AA119">
            <v>2.63</v>
          </cell>
          <cell r="AB119">
            <v>262.58</v>
          </cell>
          <cell r="AC119">
            <v>0</v>
          </cell>
          <cell r="AD119">
            <v>0</v>
          </cell>
          <cell r="AE119" t="str">
            <v>Sim</v>
          </cell>
        </row>
        <row r="120">
          <cell r="F120">
            <v>122299</v>
          </cell>
          <cell r="G120">
            <v>236891</v>
          </cell>
          <cell r="H120">
            <v>2968226000106</v>
          </cell>
          <cell r="I120" t="str">
            <v>GREINER BIO-ONE BRASIL SERVICE TECH SISTEMAS, PRODUTOS E SER</v>
          </cell>
          <cell r="J120" t="str">
            <v>AVENIDA AFFONSO PANSAN</v>
          </cell>
          <cell r="K120">
            <v>1967</v>
          </cell>
          <cell r="L120" t="str">
            <v>A</v>
          </cell>
          <cell r="M120" t="str">
            <v>VILA BERTINI</v>
          </cell>
          <cell r="N120" t="str">
            <v>AMERICANA</v>
          </cell>
          <cell r="O120" t="str">
            <v>SP</v>
          </cell>
          <cell r="Q120">
            <v>13473620</v>
          </cell>
          <cell r="R120">
            <v>170102220</v>
          </cell>
          <cell r="S120">
            <v>2</v>
          </cell>
          <cell r="T120">
            <v>2</v>
          </cell>
          <cell r="U120" t="str">
            <v>AntiFraude: Transações: 0 - Total: R$ 362,63 (Cobrança pelo mínimo mensal) (Período de apuração: 01/08/2026 à 31/08/2026) Vencimento: 26/09/2026 Brazilian Tax Information: Valor estimado dos tributos IBS e CBS, conforme disposto no art. 12 da Lei Complementar nº 214/2025 (Reforma Tributária sobre Consumo): R$3.70 (1%)</v>
          </cell>
          <cell r="V120">
            <v>370.03</v>
          </cell>
          <cell r="W120">
            <v>7.4</v>
          </cell>
          <cell r="X120">
            <v>0</v>
          </cell>
          <cell r="Y120">
            <v>2.41</v>
          </cell>
          <cell r="Z120">
            <v>11.1</v>
          </cell>
          <cell r="AA120">
            <v>3.7</v>
          </cell>
          <cell r="AB120">
            <v>370.03</v>
          </cell>
          <cell r="AC120">
            <v>0</v>
          </cell>
          <cell r="AD120">
            <v>0</v>
          </cell>
          <cell r="AE120" t="str">
            <v>Sim</v>
          </cell>
        </row>
        <row r="121">
          <cell r="F121">
            <v>122300</v>
          </cell>
          <cell r="G121">
            <v>236916</v>
          </cell>
          <cell r="H121">
            <v>41974460000793</v>
          </cell>
          <cell r="I121" t="str">
            <v>FLAG CONFECCOES LTDA</v>
          </cell>
          <cell r="J121" t="str">
            <v>AVENIDA CONDE DA BOA VISTA</v>
          </cell>
          <cell r="K121">
            <v>187</v>
          </cell>
          <cell r="M121" t="str">
            <v>BOA VISTA</v>
          </cell>
          <cell r="N121" t="str">
            <v>RECIFE</v>
          </cell>
          <cell r="O121" t="str">
            <v>PE</v>
          </cell>
          <cell r="Q121">
            <v>50060002</v>
          </cell>
          <cell r="R121">
            <v>170102220</v>
          </cell>
          <cell r="S121">
            <v>2</v>
          </cell>
          <cell r="T121">
            <v>2</v>
          </cell>
          <cell r="U121" t="str">
            <v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v>
          </cell>
          <cell r="V121">
            <v>203.22</v>
          </cell>
          <cell r="W121">
            <v>4.0599999999999996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203.22</v>
          </cell>
          <cell r="AC121">
            <v>0</v>
          </cell>
          <cell r="AD121">
            <v>0</v>
          </cell>
          <cell r="AE121" t="str">
            <v>Sim</v>
          </cell>
        </row>
        <row r="122">
          <cell r="F122">
            <v>122301</v>
          </cell>
          <cell r="G122">
            <v>236890</v>
          </cell>
          <cell r="H122">
            <v>10561165002644</v>
          </cell>
          <cell r="I122" t="str">
            <v>CAVALCANTI GONCALVES E CIA LTDA</v>
          </cell>
          <cell r="J122" t="str">
            <v>PARQUE SOLON DE LUCENA</v>
          </cell>
          <cell r="K122">
            <v>317</v>
          </cell>
          <cell r="L122" t="str">
            <v>A</v>
          </cell>
          <cell r="M122" t="str">
            <v>CENTRO</v>
          </cell>
          <cell r="N122" t="str">
            <v>JOAO PESSOA</v>
          </cell>
          <cell r="O122" t="str">
            <v>PB</v>
          </cell>
          <cell r="Q122">
            <v>58013131</v>
          </cell>
          <cell r="R122">
            <v>170102220</v>
          </cell>
          <cell r="S122">
            <v>2</v>
          </cell>
          <cell r="T122">
            <v>2</v>
          </cell>
          <cell r="U122" t="str">
            <v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v>
          </cell>
          <cell r="V122">
            <v>203.22</v>
          </cell>
          <cell r="W122">
            <v>4.0599999999999996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203.22</v>
          </cell>
          <cell r="AC122">
            <v>0</v>
          </cell>
          <cell r="AD122">
            <v>0</v>
          </cell>
          <cell r="AE122" t="str">
            <v>Sim</v>
          </cell>
        </row>
        <row r="123">
          <cell r="F123">
            <v>122302</v>
          </cell>
          <cell r="G123">
            <v>236886</v>
          </cell>
          <cell r="H123">
            <v>2846188000119</v>
          </cell>
          <cell r="I123" t="str">
            <v>COMERCIO DE ALIMENTOS SANTA CRUZ LTDA EM RECUPERACAO JUDICIA</v>
          </cell>
          <cell r="J123" t="str">
            <v>RUA SANTA CRUZ</v>
          </cell>
          <cell r="K123">
            <v>1851</v>
          </cell>
          <cell r="M123" t="str">
            <v>VL. GUMERCINDO</v>
          </cell>
          <cell r="N123" t="str">
            <v>SAO PAULO</v>
          </cell>
          <cell r="O123" t="str">
            <v>SP</v>
          </cell>
          <cell r="Q123">
            <v>4121002</v>
          </cell>
          <cell r="R123">
            <v>170102220</v>
          </cell>
          <cell r="S123">
            <v>2</v>
          </cell>
          <cell r="T123">
            <v>2</v>
          </cell>
          <cell r="U123" t="str">
            <v>AntiFraude: Transações: 0 - Total: R$ 225,66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v>
          </cell>
          <cell r="V123">
            <v>230.27</v>
          </cell>
          <cell r="W123">
            <v>4.6100000000000003</v>
          </cell>
          <cell r="X123">
            <v>0</v>
          </cell>
          <cell r="Y123">
            <v>1.5</v>
          </cell>
          <cell r="Z123">
            <v>6.91</v>
          </cell>
          <cell r="AA123">
            <v>2.2999999999999998</v>
          </cell>
          <cell r="AB123">
            <v>230.27</v>
          </cell>
          <cell r="AC123">
            <v>0</v>
          </cell>
          <cell r="AD123">
            <v>0</v>
          </cell>
          <cell r="AE123" t="str">
            <v>Sim</v>
          </cell>
        </row>
        <row r="124">
          <cell r="F124">
            <v>122303</v>
          </cell>
          <cell r="G124">
            <v>236948</v>
          </cell>
          <cell r="H124">
            <v>87854006000295</v>
          </cell>
          <cell r="I124" t="str">
            <v>CHOCOLATE CASEIRO GRAMADO LTDA</v>
          </cell>
          <cell r="J124" t="str">
            <v>AVENIDA DAS HORTENSIAS</v>
          </cell>
          <cell r="K124">
            <v>4100</v>
          </cell>
          <cell r="L124" t="str">
            <v>LOJA 01</v>
          </cell>
          <cell r="M124" t="str">
            <v>AVENIDA CENTRAL</v>
          </cell>
          <cell r="N124" t="str">
            <v>GRAMADO</v>
          </cell>
          <cell r="O124" t="str">
            <v>RS</v>
          </cell>
          <cell r="Q124">
            <v>95670670</v>
          </cell>
          <cell r="R124">
            <v>170102220</v>
          </cell>
          <cell r="S124">
            <v>2</v>
          </cell>
          <cell r="T124">
            <v>2</v>
          </cell>
          <cell r="U124" t="str">
            <v>AntiFraude: Transações: 0 - Total: R$ 225,75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v>
          </cell>
          <cell r="V124">
            <v>230.36</v>
          </cell>
          <cell r="W124">
            <v>4.6100000000000003</v>
          </cell>
          <cell r="X124">
            <v>0</v>
          </cell>
          <cell r="Y124">
            <v>1.5</v>
          </cell>
          <cell r="Z124">
            <v>6.91</v>
          </cell>
          <cell r="AA124">
            <v>2.2999999999999998</v>
          </cell>
          <cell r="AB124">
            <v>230.36</v>
          </cell>
          <cell r="AC124">
            <v>0</v>
          </cell>
          <cell r="AD124">
            <v>0</v>
          </cell>
          <cell r="AE124" t="str">
            <v>Sim</v>
          </cell>
        </row>
        <row r="125">
          <cell r="F125">
            <v>122304</v>
          </cell>
          <cell r="G125">
            <v>236954</v>
          </cell>
          <cell r="H125">
            <v>35503303000101</v>
          </cell>
          <cell r="I125" t="str">
            <v>DARKSIDE STORE COMERCIO LTDA</v>
          </cell>
          <cell r="J125" t="str">
            <v>RUA GENERAL ROCA</v>
          </cell>
          <cell r="K125">
            <v>935</v>
          </cell>
          <cell r="L125" t="str">
            <v>SAL 605</v>
          </cell>
          <cell r="M125" t="str">
            <v>TIJUCA</v>
          </cell>
          <cell r="N125" t="str">
            <v>RIO DE JANEIRO</v>
          </cell>
          <cell r="O125" t="str">
            <v>RJ</v>
          </cell>
          <cell r="Q125">
            <v>20521071</v>
          </cell>
          <cell r="R125">
            <v>170102220</v>
          </cell>
          <cell r="S125">
            <v>2</v>
          </cell>
          <cell r="T125">
            <v>2</v>
          </cell>
          <cell r="U125" t="str">
            <v>AntiFraude: Transações: 0 - Total: R$ 528,66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v>
          </cell>
          <cell r="V125">
            <v>539.45000000000005</v>
          </cell>
          <cell r="W125">
            <v>10.79</v>
          </cell>
          <cell r="X125">
            <v>0</v>
          </cell>
          <cell r="Y125">
            <v>3.51</v>
          </cell>
          <cell r="Z125">
            <v>16.18</v>
          </cell>
          <cell r="AA125">
            <v>5.39</v>
          </cell>
          <cell r="AB125">
            <v>539.45000000000005</v>
          </cell>
          <cell r="AC125">
            <v>0</v>
          </cell>
          <cell r="AD125">
            <v>0</v>
          </cell>
          <cell r="AE125" t="str">
            <v>Sim</v>
          </cell>
        </row>
        <row r="126">
          <cell r="F126">
            <v>122305</v>
          </cell>
          <cell r="G126">
            <v>236928</v>
          </cell>
          <cell r="H126">
            <v>60061751000140</v>
          </cell>
          <cell r="I126" t="str">
            <v>EPICE IMPORTACAO COMERCIO E REPRESENTACOES LTDA</v>
          </cell>
          <cell r="J126" t="str">
            <v>RUA JAMIL JOAO ZARIF</v>
          </cell>
          <cell r="K126">
            <v>684</v>
          </cell>
          <cell r="L126" t="str">
            <v>GALPAOUNID ADE 24</v>
          </cell>
          <cell r="M126" t="str">
            <v>JARDIM SANTA VICENCIA</v>
          </cell>
          <cell r="N126" t="str">
            <v>GUARULHOS</v>
          </cell>
          <cell r="O126" t="str">
            <v>SP</v>
          </cell>
          <cell r="Q126">
            <v>7143000</v>
          </cell>
          <cell r="R126">
            <v>170102220</v>
          </cell>
          <cell r="S126">
            <v>2</v>
          </cell>
          <cell r="T126">
            <v>2</v>
          </cell>
          <cell r="U126" t="str">
            <v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v>
          </cell>
          <cell r="V126">
            <v>195.61</v>
          </cell>
          <cell r="W126">
            <v>3.91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195.61</v>
          </cell>
          <cell r="AC126">
            <v>0</v>
          </cell>
          <cell r="AD126">
            <v>0</v>
          </cell>
          <cell r="AE126" t="str">
            <v>Sim</v>
          </cell>
        </row>
        <row r="127">
          <cell r="F127">
            <v>122306</v>
          </cell>
          <cell r="G127">
            <v>236960</v>
          </cell>
          <cell r="H127">
            <v>5648257003193</v>
          </cell>
          <cell r="I127" t="str">
            <v>BRASIL EDUCACAO S/A</v>
          </cell>
          <cell r="J127" t="str">
            <v>RUA TAQUARI</v>
          </cell>
          <cell r="K127">
            <v>546</v>
          </cell>
          <cell r="L127" t="str">
            <v>ANDAR 3 SA LA 301</v>
          </cell>
          <cell r="M127" t="str">
            <v>MOOCA</v>
          </cell>
          <cell r="N127" t="str">
            <v>SAO PAULO</v>
          </cell>
          <cell r="O127" t="str">
            <v>SP</v>
          </cell>
          <cell r="Q127">
            <v>3166000</v>
          </cell>
          <cell r="R127">
            <v>170102220</v>
          </cell>
          <cell r="S127">
            <v>2</v>
          </cell>
          <cell r="T127">
            <v>2</v>
          </cell>
          <cell r="U127" t="str">
            <v>AntiFraude: Transações: 0 - Total: R$ 370,72 (Cobrança pelo mínimo mensal) (Período de apuração: 01/08/2026 à 31/08/2026) Vencimento: 11/10/2026 Brazilian Tax Information: Valor estimado dos tributos IBS e CBS, conforme disposto no art. 12 da Lei Complementar nº 214/2025 (Reforma Tributária sobre Consumo): R$3.78 (1%)</v>
          </cell>
          <cell r="V127">
            <v>378.29</v>
          </cell>
          <cell r="W127">
            <v>7.57</v>
          </cell>
          <cell r="X127">
            <v>0</v>
          </cell>
          <cell r="Y127">
            <v>2.46</v>
          </cell>
          <cell r="Z127">
            <v>11.35</v>
          </cell>
          <cell r="AA127">
            <v>3.78</v>
          </cell>
          <cell r="AB127">
            <v>378.29</v>
          </cell>
          <cell r="AC127">
            <v>0</v>
          </cell>
          <cell r="AD127">
            <v>0</v>
          </cell>
          <cell r="AE127" t="str">
            <v>Sim</v>
          </cell>
        </row>
        <row r="128">
          <cell r="F128">
            <v>122307</v>
          </cell>
          <cell r="G128">
            <v>236966</v>
          </cell>
          <cell r="H128">
            <v>4569913000184</v>
          </cell>
          <cell r="I128" t="str">
            <v>FIGUEREDO &amp; FILHOS LTDA</v>
          </cell>
          <cell r="J128" t="str">
            <v>RODOVIA ABILIO MANOEL DE LIMA</v>
          </cell>
          <cell r="K128">
            <v>7075</v>
          </cell>
          <cell r="M128" t="str">
            <v>ENCANTADA</v>
          </cell>
          <cell r="N128" t="str">
            <v>GAROPABA</v>
          </cell>
          <cell r="O128" t="str">
            <v>SC</v>
          </cell>
          <cell r="Q128">
            <v>88495000</v>
          </cell>
          <cell r="R128">
            <v>170102220</v>
          </cell>
          <cell r="S128">
            <v>2</v>
          </cell>
          <cell r="T128">
            <v>2</v>
          </cell>
          <cell r="U128" t="str">
            <v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128">
            <v>163.16</v>
          </cell>
          <cell r="W128">
            <v>3.26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163.16</v>
          </cell>
          <cell r="AC128">
            <v>0</v>
          </cell>
          <cell r="AD128">
            <v>0</v>
          </cell>
          <cell r="AE128" t="str">
            <v>Sim</v>
          </cell>
        </row>
        <row r="129">
          <cell r="F129">
            <v>122308</v>
          </cell>
          <cell r="G129">
            <v>236921</v>
          </cell>
          <cell r="H129">
            <v>20511761000115</v>
          </cell>
          <cell r="I129" t="str">
            <v>CAULE COMERCIO DE COSMOCEUTICOS LTDA</v>
          </cell>
          <cell r="J129" t="str">
            <v>AVENIDA BERNARDO VIEIRA</v>
          </cell>
          <cell r="K129">
            <v>3775</v>
          </cell>
          <cell r="L129" t="str">
            <v>LETRA 128 LETRA A BL</v>
          </cell>
          <cell r="M129" t="str">
            <v>TIROL</v>
          </cell>
          <cell r="N129" t="str">
            <v>NATAL</v>
          </cell>
          <cell r="O129" t="str">
            <v>RN</v>
          </cell>
          <cell r="Q129">
            <v>59015900</v>
          </cell>
          <cell r="R129">
            <v>170102220</v>
          </cell>
          <cell r="S129">
            <v>2</v>
          </cell>
          <cell r="T129">
            <v>2</v>
          </cell>
          <cell r="U129" t="str">
            <v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129">
            <v>163.16</v>
          </cell>
          <cell r="W129">
            <v>3.26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163.16</v>
          </cell>
          <cell r="AC129">
            <v>0</v>
          </cell>
          <cell r="AD129">
            <v>0</v>
          </cell>
          <cell r="AE129" t="str">
            <v>Sim</v>
          </cell>
        </row>
        <row r="130">
          <cell r="F130">
            <v>122309</v>
          </cell>
          <cell r="G130">
            <v>236955</v>
          </cell>
          <cell r="H130">
            <v>77424992000290</v>
          </cell>
          <cell r="I130" t="str">
            <v>AGUATIVA GOLF RESORT S/A</v>
          </cell>
          <cell r="J130" t="str">
            <v>LOC  ROD MELO PEIXOTO BR 369</v>
          </cell>
          <cell r="K130" t="str">
            <v>SN</v>
          </cell>
          <cell r="L130" t="str">
            <v>KM 101</v>
          </cell>
          <cell r="M130" t="str">
            <v>ZONA RURAL</v>
          </cell>
          <cell r="N130" t="str">
            <v>CORNELIO PROCOPIO</v>
          </cell>
          <cell r="O130" t="str">
            <v>PR</v>
          </cell>
          <cell r="Q130">
            <v>86300000</v>
          </cell>
          <cell r="R130">
            <v>170102220</v>
          </cell>
          <cell r="S130">
            <v>2</v>
          </cell>
          <cell r="T130">
            <v>2</v>
          </cell>
          <cell r="U130" t="str">
            <v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v>
          </cell>
          <cell r="V130">
            <v>155.6</v>
          </cell>
          <cell r="W130">
            <v>3.11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155.6</v>
          </cell>
          <cell r="AC130">
            <v>0</v>
          </cell>
          <cell r="AD130">
            <v>0</v>
          </cell>
          <cell r="AE130" t="str">
            <v>Sim</v>
          </cell>
        </row>
        <row r="131">
          <cell r="F131">
            <v>122310</v>
          </cell>
          <cell r="G131">
            <v>236959</v>
          </cell>
          <cell r="H131">
            <v>10912363000157</v>
          </cell>
          <cell r="I131" t="str">
            <v>CGN COMERCIAL E GESTAO DE NEGOCIOSE MARCAS LTDA</v>
          </cell>
          <cell r="J131" t="str">
            <v>AVENIDA PAPA JOAO PAULO I</v>
          </cell>
          <cell r="K131">
            <v>3960</v>
          </cell>
          <cell r="L131" t="str">
            <v>MZNINOMEZA NINO</v>
          </cell>
          <cell r="M131" t="str">
            <v>JARDIM PRESIDENTE DUTRA</v>
          </cell>
          <cell r="N131" t="str">
            <v>GUARULHOS</v>
          </cell>
          <cell r="O131" t="str">
            <v>SP</v>
          </cell>
          <cell r="Q131">
            <v>7174000</v>
          </cell>
          <cell r="R131">
            <v>170102220</v>
          </cell>
          <cell r="S131">
            <v>2</v>
          </cell>
          <cell r="T131">
            <v>2</v>
          </cell>
          <cell r="U131" t="str">
            <v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v>
          </cell>
          <cell r="V131">
            <v>155.6</v>
          </cell>
          <cell r="W131">
            <v>3.11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155.6</v>
          </cell>
          <cell r="AC131">
            <v>0</v>
          </cell>
          <cell r="AD131">
            <v>0</v>
          </cell>
          <cell r="AE131" t="str">
            <v>Sim</v>
          </cell>
        </row>
        <row r="132">
          <cell r="F132">
            <v>122311</v>
          </cell>
          <cell r="G132">
            <v>236944</v>
          </cell>
          <cell r="H132">
            <v>3300062000107</v>
          </cell>
          <cell r="I132" t="str">
            <v>COOPERFLORA-COOPERATIVA DOS FLORICULTORES</v>
          </cell>
          <cell r="J132" t="str">
            <v>ESTRADA MUNICIPAL JGR 317 FRANCISCA VAN DER BRUGGEN GRANCHEL</v>
          </cell>
          <cell r="K132">
            <v>539</v>
          </cell>
          <cell r="M132" t="str">
            <v>FAZENDA UNIVERSO</v>
          </cell>
          <cell r="N132" t="str">
            <v>JAGUARIUNA</v>
          </cell>
          <cell r="O132" t="str">
            <v>SP</v>
          </cell>
          <cell r="Q132">
            <v>13919899</v>
          </cell>
          <cell r="R132">
            <v>170102220</v>
          </cell>
          <cell r="S132">
            <v>2</v>
          </cell>
          <cell r="T132">
            <v>2</v>
          </cell>
          <cell r="U132" t="str">
            <v>AntiFraude: Transações: 0 - Total: R$ 717,12 (Cobrança pelo mínimo mensal) (Período de apuração: 01/08/2026 à 31/08/2026) Vencimento: 26/09/2026 Brazilian Tax Information: Valor estimado dos tributos IBS e CBS, conforme disposto no art. 12 da Lei Complementar nº 214/2025 (Reforma Tributária sobre Consumo): R$7.32 (1%)</v>
          </cell>
          <cell r="V132">
            <v>731.76</v>
          </cell>
          <cell r="W132">
            <v>14.64</v>
          </cell>
          <cell r="X132">
            <v>10.98</v>
          </cell>
          <cell r="Y132">
            <v>4.76</v>
          </cell>
          <cell r="Z132">
            <v>21.95</v>
          </cell>
          <cell r="AA132">
            <v>7.32</v>
          </cell>
          <cell r="AB132">
            <v>731.76</v>
          </cell>
          <cell r="AC132">
            <v>0</v>
          </cell>
          <cell r="AD132">
            <v>0</v>
          </cell>
          <cell r="AE132" t="str">
            <v>Sim</v>
          </cell>
        </row>
        <row r="133">
          <cell r="F133">
            <v>122312</v>
          </cell>
          <cell r="G133">
            <v>236940</v>
          </cell>
          <cell r="H133">
            <v>43849258000170</v>
          </cell>
          <cell r="I133" t="str">
            <v>E-TALITA CONFECCOES LTDA</v>
          </cell>
          <cell r="J133" t="str">
            <v>RUA JOSE PAULINO</v>
          </cell>
          <cell r="K133">
            <v>504</v>
          </cell>
          <cell r="M133" t="str">
            <v>BOM RETIRO</v>
          </cell>
          <cell r="N133" t="str">
            <v>SAO PAULO</v>
          </cell>
          <cell r="O133" t="str">
            <v>SP</v>
          </cell>
          <cell r="Q133">
            <v>1120000</v>
          </cell>
          <cell r="R133">
            <v>170102220</v>
          </cell>
          <cell r="S133">
            <v>2</v>
          </cell>
          <cell r="T133">
            <v>2</v>
          </cell>
          <cell r="U133" t="str">
            <v>AntiFraude: Transações: 0 - Total: R$ 980,19 (Cobrança pelo mínimo mensal) (Período de apuração: 01/08/2026 à 31/08/2026) Vencimento: 26/09/2026 Brazilian Tax Information: Valor estimado dos tributos IBS e CBS, conforme disposto no art. 12 da Lei Complementar nº 214/2025 (Reforma Tributária sobre Consumo): R$10.00 (1%)</v>
          </cell>
          <cell r="V133">
            <v>1000.19</v>
          </cell>
          <cell r="W133">
            <v>20</v>
          </cell>
          <cell r="X133">
            <v>15</v>
          </cell>
          <cell r="Y133">
            <v>6.5</v>
          </cell>
          <cell r="Z133">
            <v>30.01</v>
          </cell>
          <cell r="AA133">
            <v>10</v>
          </cell>
          <cell r="AB133">
            <v>1000.19</v>
          </cell>
          <cell r="AC133">
            <v>0</v>
          </cell>
          <cell r="AD133">
            <v>0</v>
          </cell>
          <cell r="AE133" t="str">
            <v>Sim</v>
          </cell>
        </row>
        <row r="134">
          <cell r="F134">
            <v>122313</v>
          </cell>
          <cell r="G134">
            <v>236961</v>
          </cell>
          <cell r="H134">
            <v>9564676000182</v>
          </cell>
          <cell r="I134" t="str">
            <v>GNC COMERCIO DE VEICULOS LTDA</v>
          </cell>
          <cell r="J134" t="str">
            <v>AVENIDA LUIS VIANA</v>
          </cell>
          <cell r="K134">
            <v>6550</v>
          </cell>
          <cell r="M134" t="str">
            <v>PARALELA</v>
          </cell>
          <cell r="N134" t="str">
            <v>SALVADOR</v>
          </cell>
          <cell r="O134" t="str">
            <v>BA</v>
          </cell>
          <cell r="Q134">
            <v>41730101</v>
          </cell>
          <cell r="R134">
            <v>170102220</v>
          </cell>
          <cell r="S134">
            <v>2</v>
          </cell>
          <cell r="T134">
            <v>2</v>
          </cell>
          <cell r="U134" t="str">
            <v>AntiFraude: Transações: 0 - Total: R$ 520,36 (Cobrança pelo mínimo mensal) (Período de apuração: 01/08/2026 à 31/08/2026) Vencimento: 26/09/2026 Brazilian Tax Information: Valor estimado dos tributos IBS e CBS, conforme disposto no art. 12 da Lei Complementar nº 214/2025 (Reforma Tributária sobre Consumo): R$5.31 (1%)</v>
          </cell>
          <cell r="V134">
            <v>530.98</v>
          </cell>
          <cell r="W134">
            <v>10.62</v>
          </cell>
          <cell r="X134">
            <v>0</v>
          </cell>
          <cell r="Y134">
            <v>3.45</v>
          </cell>
          <cell r="Z134">
            <v>15.93</v>
          </cell>
          <cell r="AA134">
            <v>5.31</v>
          </cell>
          <cell r="AB134">
            <v>530.98</v>
          </cell>
          <cell r="AC134">
            <v>0</v>
          </cell>
          <cell r="AD134">
            <v>0</v>
          </cell>
          <cell r="AE134" t="str">
            <v>Sim</v>
          </cell>
        </row>
        <row r="135">
          <cell r="F135">
            <v>122314</v>
          </cell>
          <cell r="G135">
            <v>236964</v>
          </cell>
          <cell r="H135">
            <v>83648477000105</v>
          </cell>
          <cell r="I135" t="str">
            <v>GIASSI &amp; CIA LTDA</v>
          </cell>
          <cell r="J135" t="str">
            <v>RODOVIA SC 445 KM 67,3</v>
          </cell>
          <cell r="K135" t="str">
            <v>S/N</v>
          </cell>
          <cell r="L135" t="str">
            <v>CXPST 21</v>
          </cell>
          <cell r="M135" t="str">
            <v>VILA SAO JOSE</v>
          </cell>
          <cell r="N135" t="str">
            <v>ICARA</v>
          </cell>
          <cell r="O135" t="str">
            <v>SC</v>
          </cell>
          <cell r="Q135">
            <v>88820000</v>
          </cell>
          <cell r="R135">
            <v>170102220</v>
          </cell>
          <cell r="S135">
            <v>2</v>
          </cell>
          <cell r="T135">
            <v>2</v>
          </cell>
          <cell r="U135" t="str">
            <v>AntiFraude: Transações: 5681 - Tarifa: R$ 0,4058 - Total: R$ 2.305,35 (Período de apuração: 01/08/2026 à 31/08/2026) Vencimento: 26/09/2026 Brazilian Tax Information: Valor estimado dos tributos IBS e CBS, conforme disposto no art. 12 da Lei Complementar nº 214/2025 (Reforma Tributária sobre Consumo): R$23.52 (1%)</v>
          </cell>
          <cell r="V135">
            <v>2352.4</v>
          </cell>
          <cell r="W135">
            <v>47.05</v>
          </cell>
          <cell r="X135">
            <v>35.29</v>
          </cell>
          <cell r="Y135">
            <v>15.29</v>
          </cell>
          <cell r="Z135">
            <v>70.569999999999993</v>
          </cell>
          <cell r="AA135">
            <v>23.52</v>
          </cell>
          <cell r="AB135">
            <v>2352.4</v>
          </cell>
          <cell r="AC135">
            <v>0</v>
          </cell>
          <cell r="AD135">
            <v>0</v>
          </cell>
          <cell r="AE135" t="str">
            <v>Sim</v>
          </cell>
        </row>
        <row r="136">
          <cell r="F136">
            <v>122315</v>
          </cell>
          <cell r="G136">
            <v>236922</v>
          </cell>
          <cell r="H136">
            <v>7124577000235</v>
          </cell>
          <cell r="I136" t="str">
            <v>AB COMERCIO DE VEICULOS LTDA</v>
          </cell>
          <cell r="J136" t="str">
            <v>RUA CARLOS ALBERTO FERES</v>
          </cell>
          <cell r="K136">
            <v>200</v>
          </cell>
          <cell r="M136" t="str">
            <v>LIBERDADE</v>
          </cell>
          <cell r="N136" t="str">
            <v>BELO HORIZONTE</v>
          </cell>
          <cell r="O136" t="str">
            <v>MG</v>
          </cell>
          <cell r="Q136">
            <v>31270222</v>
          </cell>
          <cell r="R136">
            <v>170102220</v>
          </cell>
          <cell r="S136">
            <v>2</v>
          </cell>
          <cell r="T136">
            <v>2</v>
          </cell>
          <cell r="U136" t="str">
            <v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136">
            <v>528.97</v>
          </cell>
          <cell r="W136">
            <v>10.58</v>
          </cell>
          <cell r="X136">
            <v>0</v>
          </cell>
          <cell r="Y136">
            <v>3.44</v>
          </cell>
          <cell r="Z136">
            <v>15.87</v>
          </cell>
          <cell r="AA136">
            <v>5.29</v>
          </cell>
          <cell r="AB136">
            <v>528.97</v>
          </cell>
          <cell r="AC136">
            <v>0</v>
          </cell>
          <cell r="AD136">
            <v>0</v>
          </cell>
          <cell r="AE136" t="str">
            <v>Sim</v>
          </cell>
        </row>
        <row r="137">
          <cell r="F137">
            <v>122316</v>
          </cell>
          <cell r="G137">
            <v>236947</v>
          </cell>
          <cell r="H137">
            <v>15775522000132</v>
          </cell>
          <cell r="I137" t="str">
            <v>ABBEY TURISMO LTDA</v>
          </cell>
          <cell r="J137" t="str">
            <v>PRACA DIOGO DE AGUIRRE</v>
          </cell>
          <cell r="K137">
            <v>41</v>
          </cell>
          <cell r="M137" t="str">
            <v>VILA FORMOSA</v>
          </cell>
          <cell r="N137" t="str">
            <v>SAO PAULO</v>
          </cell>
          <cell r="O137" t="str">
            <v>SP</v>
          </cell>
          <cell r="Q137">
            <v>3363110</v>
          </cell>
          <cell r="R137">
            <v>170102220</v>
          </cell>
          <cell r="S137">
            <v>2</v>
          </cell>
          <cell r="T137">
            <v>2</v>
          </cell>
          <cell r="U137" t="str">
            <v>AntiFraude: Transações: 0 - Total: R$ 149,83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v>
          </cell>
          <cell r="V137">
            <v>152.88999999999999</v>
          </cell>
          <cell r="W137">
            <v>3.06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152.88999999999999</v>
          </cell>
          <cell r="AC137">
            <v>0</v>
          </cell>
          <cell r="AD137">
            <v>0</v>
          </cell>
          <cell r="AE137" t="str">
            <v>Sim</v>
          </cell>
        </row>
        <row r="138">
          <cell r="F138">
            <v>122317</v>
          </cell>
          <cell r="G138">
            <v>236938</v>
          </cell>
          <cell r="H138">
            <v>9564676000930</v>
          </cell>
          <cell r="I138" t="str">
            <v>GNC COMERCIO DE VEICULOS LTDA</v>
          </cell>
          <cell r="J138" t="str">
            <v>AVENIDA PROFESSOR MAGALHAES NETO</v>
          </cell>
          <cell r="K138">
            <v>1570</v>
          </cell>
          <cell r="L138" t="str">
            <v>LJ</v>
          </cell>
          <cell r="M138" t="str">
            <v>PITUBA</v>
          </cell>
          <cell r="N138" t="str">
            <v>SALVADOR</v>
          </cell>
          <cell r="O138" t="str">
            <v>BA</v>
          </cell>
          <cell r="Q138">
            <v>41810011</v>
          </cell>
          <cell r="R138">
            <v>170102220</v>
          </cell>
          <cell r="S138">
            <v>2</v>
          </cell>
          <cell r="T138">
            <v>2</v>
          </cell>
          <cell r="U138" t="str">
            <v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v>
          </cell>
          <cell r="V138">
            <v>518.51</v>
          </cell>
          <cell r="W138">
            <v>10.37</v>
          </cell>
          <cell r="X138">
            <v>0</v>
          </cell>
          <cell r="Y138">
            <v>3.37</v>
          </cell>
          <cell r="Z138">
            <v>15.56</v>
          </cell>
          <cell r="AA138">
            <v>5.19</v>
          </cell>
          <cell r="AB138">
            <v>518.51</v>
          </cell>
          <cell r="AC138">
            <v>0</v>
          </cell>
          <cell r="AD138">
            <v>0</v>
          </cell>
          <cell r="AE138" t="str">
            <v>Sim</v>
          </cell>
        </row>
        <row r="139">
          <cell r="F139">
            <v>122318</v>
          </cell>
          <cell r="G139">
            <v>236952</v>
          </cell>
          <cell r="H139">
            <v>30731596000160</v>
          </cell>
          <cell r="I139" t="str">
            <v>GFP GESTAO EMPRESARIAL LTDA</v>
          </cell>
          <cell r="J139" t="str">
            <v>AVENIDA 136</v>
          </cell>
          <cell r="K139">
            <v>761</v>
          </cell>
          <cell r="L139" t="str">
            <v>QUADRAF44 LOTE 02E S</v>
          </cell>
          <cell r="M139" t="str">
            <v>SET SUL</v>
          </cell>
          <cell r="N139" t="str">
            <v>GOIANIA</v>
          </cell>
          <cell r="O139" t="str">
            <v>GO</v>
          </cell>
          <cell r="Q139">
            <v>74093250</v>
          </cell>
          <cell r="R139">
            <v>170102220</v>
          </cell>
          <cell r="S139">
            <v>2</v>
          </cell>
          <cell r="T139">
            <v>2</v>
          </cell>
          <cell r="U139" t="str">
            <v>AntiFraude: Transações: 0 - Total: R$ 146,29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v>
          </cell>
          <cell r="V139">
            <v>149.28</v>
          </cell>
          <cell r="W139">
            <v>2.99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149.28</v>
          </cell>
          <cell r="AC139">
            <v>0</v>
          </cell>
          <cell r="AD139">
            <v>0</v>
          </cell>
          <cell r="AE139" t="str">
            <v>Sim</v>
          </cell>
        </row>
        <row r="140">
          <cell r="F140">
            <v>122319</v>
          </cell>
          <cell r="G140">
            <v>236951</v>
          </cell>
          <cell r="H140">
            <v>4591034000159</v>
          </cell>
          <cell r="I140" t="str">
            <v>EUROCONSUMERS - BRASIL / EUROCONSUMERS - BRASIL / PROTESTE -</v>
          </cell>
          <cell r="J140" t="str">
            <v>AVENIDA DAS AMERICAS</v>
          </cell>
          <cell r="K140">
            <v>3443</v>
          </cell>
          <cell r="L140" t="str">
            <v>BLC 3 SAL 202</v>
          </cell>
          <cell r="M140" t="str">
            <v>BARRA DA TIJUCA</v>
          </cell>
          <cell r="N140" t="str">
            <v>RIO DE JANEIRO</v>
          </cell>
          <cell r="O140" t="str">
            <v>RJ</v>
          </cell>
          <cell r="Q140">
            <v>22631003</v>
          </cell>
          <cell r="R140">
            <v>170102220</v>
          </cell>
          <cell r="S140">
            <v>2</v>
          </cell>
          <cell r="T140">
            <v>2</v>
          </cell>
          <cell r="U140" t="str">
            <v>AntiFraude: Transações: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v>
          </cell>
          <cell r="V140">
            <v>465.36</v>
          </cell>
          <cell r="W140">
            <v>9.31</v>
          </cell>
          <cell r="X140">
            <v>0</v>
          </cell>
          <cell r="Y140">
            <v>3.02</v>
          </cell>
          <cell r="Z140">
            <v>13.96</v>
          </cell>
          <cell r="AA140">
            <v>4.6500000000000004</v>
          </cell>
          <cell r="AB140">
            <v>465.36</v>
          </cell>
          <cell r="AC140">
            <v>0</v>
          </cell>
          <cell r="AD140">
            <v>0</v>
          </cell>
          <cell r="AE140" t="str">
            <v>Sim</v>
          </cell>
        </row>
        <row r="141">
          <cell r="F141">
            <v>122320</v>
          </cell>
          <cell r="G141">
            <v>236963</v>
          </cell>
          <cell r="H141">
            <v>84046101000193</v>
          </cell>
          <cell r="I141" t="str">
            <v>BUNGE ALIMENTOS S/A</v>
          </cell>
          <cell r="J141" t="str">
            <v>RODOVIA JORGE LACERDA</v>
          </cell>
          <cell r="K141">
            <v>4657</v>
          </cell>
          <cell r="L141" t="str">
            <v>KM 20</v>
          </cell>
          <cell r="M141" t="str">
            <v>POCO GRANDE</v>
          </cell>
          <cell r="N141" t="str">
            <v>GASPAR</v>
          </cell>
          <cell r="O141" t="str">
            <v>SC</v>
          </cell>
          <cell r="Q141">
            <v>89115285</v>
          </cell>
          <cell r="R141">
            <v>170102220</v>
          </cell>
          <cell r="S141">
            <v>2</v>
          </cell>
          <cell r="T141">
            <v>2</v>
          </cell>
          <cell r="U141" t="str">
            <v>AntiFraude: Transações: 0 - Total: R$ 2.708,15 (Cobrança pelo mínimo mensal) Pacote Gestão de Risco Hierarquia AntiFraude + Emailage + Credlink + Revisão Manual20328570# (Período de apuração: 01/08/2026 à 31/0 8/2026) Vencimento: 11/10/2026 Brazilian Tax Information: Valor estimado dos tributos IBS e CBS, conforme disposto no art. 12 da Lei Complementar nº 214/2025 (Reforma Tributária sobre Consumo): R$27.63 (1%)</v>
          </cell>
          <cell r="V141">
            <v>2763.42</v>
          </cell>
          <cell r="W141">
            <v>55.27</v>
          </cell>
          <cell r="X141">
            <v>41.45</v>
          </cell>
          <cell r="Y141">
            <v>17.96</v>
          </cell>
          <cell r="Z141">
            <v>82.9</v>
          </cell>
          <cell r="AA141">
            <v>27.63</v>
          </cell>
          <cell r="AB141">
            <v>2763.42</v>
          </cell>
          <cell r="AC141">
            <v>0</v>
          </cell>
          <cell r="AD141">
            <v>0</v>
          </cell>
          <cell r="AE141" t="str">
            <v>Sim</v>
          </cell>
        </row>
        <row r="142">
          <cell r="F142">
            <v>122321</v>
          </cell>
          <cell r="G142">
            <v>236932</v>
          </cell>
          <cell r="H142">
            <v>60746948000112</v>
          </cell>
          <cell r="I142" t="str">
            <v>BANCO BRADESCO S.A.</v>
          </cell>
          <cell r="J142" t="str">
            <v>NUCLEO CIDADE DE DEUS</v>
          </cell>
          <cell r="K142" t="str">
            <v>S/N</v>
          </cell>
          <cell r="M142" t="str">
            <v>VILA YARA</v>
          </cell>
          <cell r="N142" t="str">
            <v>OSASCO</v>
          </cell>
          <cell r="O142" t="str">
            <v>SP</v>
          </cell>
          <cell r="Q142">
            <v>6029900</v>
          </cell>
          <cell r="R142">
            <v>170102220</v>
          </cell>
          <cell r="S142">
            <v>2</v>
          </cell>
          <cell r="T142">
            <v>2</v>
          </cell>
          <cell r="U142" t="str">
            <v>AntiFraude: Transações: 0 - Total: R$ 0,01 (Cobrança pelo mínimo mensal) Analista de Risco: R$ 4.482,07 (Período de apuração: 01/08/2026 à 31/08/2026) Vencimento: 11/10/2026 Brazilian Tax Information: Valor estimado dos tributos IBS e CBS, conforme disposto no art. 12 da Lei Complementar nº 214/2025 (Reforma Tributária sobre Consumo): R$0.00 (1%)</v>
          </cell>
          <cell r="V142">
            <v>4573.55</v>
          </cell>
          <cell r="W142">
            <v>91.47</v>
          </cell>
          <cell r="X142">
            <v>68.599999999999994</v>
          </cell>
          <cell r="Y142">
            <v>29.73</v>
          </cell>
          <cell r="Z142">
            <v>137.21</v>
          </cell>
          <cell r="AA142">
            <v>45.74</v>
          </cell>
          <cell r="AB142">
            <v>4573.55</v>
          </cell>
          <cell r="AC142">
            <v>0</v>
          </cell>
          <cell r="AD142">
            <v>0</v>
          </cell>
          <cell r="AE142" t="str">
            <v>Sim</v>
          </cell>
        </row>
        <row r="143">
          <cell r="F143">
            <v>122322</v>
          </cell>
          <cell r="G143">
            <v>236958</v>
          </cell>
          <cell r="H143">
            <v>9449728000170</v>
          </cell>
          <cell r="I143" t="str">
            <v>FABRICA DE VIAGEM OPERADORA DE TURISMO LTDA</v>
          </cell>
          <cell r="J143" t="str">
            <v>AVENIDA SANTOS DUMONT</v>
          </cell>
          <cell r="K143">
            <v>2828</v>
          </cell>
          <cell r="L143">
            <v>1408</v>
          </cell>
          <cell r="M143" t="str">
            <v>ALDEOTA</v>
          </cell>
          <cell r="N143" t="str">
            <v>FORTALEZA</v>
          </cell>
          <cell r="O143" t="str">
            <v>CE</v>
          </cell>
          <cell r="Q143">
            <v>60150162</v>
          </cell>
          <cell r="R143">
            <v>170102220</v>
          </cell>
          <cell r="S143">
            <v>2</v>
          </cell>
          <cell r="T143">
            <v>2</v>
          </cell>
          <cell r="U143" t="str">
            <v>AntiFraude: Transações: 0 - Total: R$ 163,99 (Cobrança pelo mínimo mensal) (Período de apuração: 01/08/2026 à 31/08/2026) Vencimento: 26/09/2026 Brazilian Tax Information: Valor estimado dos tributos IBS e CBS, conforme disposto no art. 12 da Lei Complementar nº 214/2025 (Reforma Tributária sobre Consumo): R$1.67 (1%)</v>
          </cell>
          <cell r="V143">
            <v>167.34</v>
          </cell>
          <cell r="W143">
            <v>3.35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167.34</v>
          </cell>
          <cell r="AC143">
            <v>0</v>
          </cell>
          <cell r="AD143">
            <v>0</v>
          </cell>
          <cell r="AE143" t="str">
            <v>Sim</v>
          </cell>
        </row>
        <row r="144">
          <cell r="F144">
            <v>122323</v>
          </cell>
          <cell r="G144">
            <v>236990</v>
          </cell>
          <cell r="H144">
            <v>6098020000123</v>
          </cell>
          <cell r="I144" t="str">
            <v>EMPORIO MAGISTRAL DA FORMULA FARMACIA DE MANIPULACAO LTDA</v>
          </cell>
          <cell r="J144" t="str">
            <v>RUA JOSE ANTONIO COELHO</v>
          </cell>
          <cell r="K144">
            <v>854</v>
          </cell>
          <cell r="M144" t="str">
            <v>VILA MARIANA</v>
          </cell>
          <cell r="N144" t="str">
            <v>SAO PAULO</v>
          </cell>
          <cell r="O144" t="str">
            <v>SP</v>
          </cell>
          <cell r="Q144">
            <v>4011062</v>
          </cell>
          <cell r="R144">
            <v>170102220</v>
          </cell>
          <cell r="S144">
            <v>2</v>
          </cell>
          <cell r="T144">
            <v>2</v>
          </cell>
          <cell r="U144" t="str">
            <v>AntiFraude: Transações: 0 - Total: R$ 480,89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v>
          </cell>
          <cell r="V144">
            <v>490.7</v>
          </cell>
          <cell r="W144">
            <v>9.81</v>
          </cell>
          <cell r="X144">
            <v>0</v>
          </cell>
          <cell r="Y144">
            <v>3.19</v>
          </cell>
          <cell r="Z144">
            <v>14.72</v>
          </cell>
          <cell r="AA144">
            <v>4.91</v>
          </cell>
          <cell r="AB144">
            <v>490.7</v>
          </cell>
          <cell r="AC144">
            <v>0</v>
          </cell>
          <cell r="AD144">
            <v>0</v>
          </cell>
          <cell r="AE144" t="str">
            <v>Sim</v>
          </cell>
        </row>
        <row r="145">
          <cell r="F145">
            <v>122324</v>
          </cell>
          <cell r="G145">
            <v>236992</v>
          </cell>
          <cell r="H145">
            <v>77488385000102</v>
          </cell>
          <cell r="I145" t="str">
            <v>COSTAFERRO COSTA TEIXEIRA FERRO E ACO LTDA</v>
          </cell>
          <cell r="J145" t="str">
            <v>AVENIDA VISCONDE DE MAUA</v>
          </cell>
          <cell r="K145">
            <v>2709</v>
          </cell>
          <cell r="L145" t="str">
            <v>SALA 03</v>
          </cell>
          <cell r="M145" t="str">
            <v>OFICINAS</v>
          </cell>
          <cell r="N145" t="str">
            <v>PONTA GROSSA</v>
          </cell>
          <cell r="O145" t="str">
            <v>PR</v>
          </cell>
          <cell r="Q145">
            <v>84043000</v>
          </cell>
          <cell r="R145">
            <v>170102220</v>
          </cell>
          <cell r="S145">
            <v>2</v>
          </cell>
          <cell r="T145">
            <v>2</v>
          </cell>
          <cell r="U145" t="str">
            <v>AntiFraude: Transações: 0 - Total: R$ 162,31 (Cobrança pelo mínimo mensal) (Período de apuração: 01/08/2026 à 31/08/2026) Vencimento: 26/09/2026 Brazilian Tax Information: Valor estimado dos tributos IBS e CBS, conforme disposto no art. 12 da Lei Complementar nº 214/2025 (Reforma Tributária sobre Consumo): R$1.66 (1%)</v>
          </cell>
          <cell r="V145">
            <v>165.62</v>
          </cell>
          <cell r="W145">
            <v>3.31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165.62</v>
          </cell>
          <cell r="AC145">
            <v>0</v>
          </cell>
          <cell r="AD145">
            <v>0</v>
          </cell>
          <cell r="AE145" t="str">
            <v>Sim</v>
          </cell>
        </row>
        <row r="146">
          <cell r="F146">
            <v>122325</v>
          </cell>
          <cell r="G146">
            <v>236969</v>
          </cell>
          <cell r="H146">
            <v>37886017000874</v>
          </cell>
          <cell r="I146" t="str">
            <v>DROGARIA SHOPPING LTDA</v>
          </cell>
          <cell r="J146" t="str">
            <v>QUADRA SHCS CL 302-A BLOCO B LOJA</v>
          </cell>
          <cell r="K146">
            <v>13</v>
          </cell>
          <cell r="M146" t="str">
            <v>ASA SUL</v>
          </cell>
          <cell r="N146" t="str">
            <v>BRASILIA</v>
          </cell>
          <cell r="O146" t="str">
            <v>DF</v>
          </cell>
          <cell r="Q146">
            <v>70338525</v>
          </cell>
          <cell r="R146">
            <v>170102220</v>
          </cell>
          <cell r="S146">
            <v>2</v>
          </cell>
          <cell r="T146">
            <v>2</v>
          </cell>
          <cell r="U146" t="str">
            <v>AntiFraude: Transações: 0 - Total: R$ 149,25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146">
            <v>152.30000000000001</v>
          </cell>
          <cell r="W146">
            <v>3.05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152.30000000000001</v>
          </cell>
          <cell r="AC146">
            <v>0</v>
          </cell>
          <cell r="AD146">
            <v>0</v>
          </cell>
          <cell r="AE146" t="str">
            <v>Sim</v>
          </cell>
        </row>
        <row r="147">
          <cell r="F147">
            <v>122326</v>
          </cell>
          <cell r="G147">
            <v>236970</v>
          </cell>
          <cell r="H147">
            <v>5597887000160</v>
          </cell>
          <cell r="I147" t="str">
            <v>CONDOMINIO DO EDIFICIO SHERATON BARRA</v>
          </cell>
          <cell r="J147" t="str">
            <v>AVENIDA LUCIO COSTA</v>
          </cell>
          <cell r="K147">
            <v>3150</v>
          </cell>
          <cell r="L147" t="str">
            <v>BLOCO 1 BL OCO 2 - P</v>
          </cell>
          <cell r="M147" t="str">
            <v>BARRA DA TIJUCA</v>
          </cell>
          <cell r="N147" t="str">
            <v>RIO DE JANEIRO</v>
          </cell>
          <cell r="O147" t="str">
            <v>RJ</v>
          </cell>
          <cell r="Q147">
            <v>22630010</v>
          </cell>
          <cell r="R147">
            <v>170102220</v>
          </cell>
          <cell r="S147">
            <v>2</v>
          </cell>
          <cell r="T147">
            <v>2</v>
          </cell>
          <cell r="U147" t="str">
            <v>AntiFraude: Transações: 0 - Total: R$ 323,58 (Cobrança pelo mínimo mensal) (Período de apuração: 01/08/2026 à 31/08/2026) Vencimento: 26/09/2026 Brazilian Tax Information: Valor estimado dos tributos IBS e CBS, conforme disposto no art. 12 da Lei Complementar nº 214/2025 (Reforma Tributária sobre Consumo): R$3.30 (1%)</v>
          </cell>
          <cell r="V147">
            <v>330.18</v>
          </cell>
          <cell r="W147">
            <v>6.6</v>
          </cell>
          <cell r="X147">
            <v>0</v>
          </cell>
          <cell r="Y147">
            <v>2.15</v>
          </cell>
          <cell r="Z147">
            <v>9.91</v>
          </cell>
          <cell r="AA147">
            <v>3.3</v>
          </cell>
          <cell r="AB147">
            <v>330.18</v>
          </cell>
          <cell r="AC147">
            <v>0</v>
          </cell>
          <cell r="AD147">
            <v>0</v>
          </cell>
          <cell r="AE147" t="str">
            <v>Sim</v>
          </cell>
        </row>
        <row r="148">
          <cell r="F148">
            <v>122327</v>
          </cell>
          <cell r="G148">
            <v>236968</v>
          </cell>
          <cell r="H148">
            <v>2971360000166</v>
          </cell>
          <cell r="I148" t="str">
            <v>DISVECO LTDA</v>
          </cell>
          <cell r="J148" t="str">
            <v>AVENIDA FERNANDO CORREA DA COSTA</v>
          </cell>
          <cell r="K148">
            <v>1800</v>
          </cell>
          <cell r="L148" t="str">
            <v>TERREO</v>
          </cell>
          <cell r="M148" t="str">
            <v>JARDIM KENNEDY</v>
          </cell>
          <cell r="N148" t="str">
            <v>CUIABA</v>
          </cell>
          <cell r="O148" t="str">
            <v>MT</v>
          </cell>
          <cell r="Q148">
            <v>78065000</v>
          </cell>
          <cell r="R148">
            <v>170102220</v>
          </cell>
          <cell r="S148">
            <v>2</v>
          </cell>
          <cell r="T148">
            <v>2</v>
          </cell>
          <cell r="U148" t="str">
            <v>AntiFraude: Transações: 0 - Total: R$ 480,92 (Cobrança pelo mínimo mensal) (Período de apuração: 01/08/2026 à 31/08/2026) Vencimento: 20/10/2026 Brazilian Tax Information: Valor estimado dos tributos IBS e CBS, conforme disposto no art. 12 da Lei Complementar nº 214/2025 (Reforma Tributária sobre Consumo): R$4.91 (1%)</v>
          </cell>
          <cell r="V148">
            <v>490.73</v>
          </cell>
          <cell r="W148">
            <v>9.81</v>
          </cell>
          <cell r="X148">
            <v>0</v>
          </cell>
          <cell r="Y148">
            <v>3.19</v>
          </cell>
          <cell r="Z148">
            <v>14.72</v>
          </cell>
          <cell r="AA148">
            <v>4.91</v>
          </cell>
          <cell r="AB148">
            <v>490.73</v>
          </cell>
          <cell r="AC148">
            <v>0</v>
          </cell>
          <cell r="AD148">
            <v>0</v>
          </cell>
          <cell r="AE148" t="str">
            <v>Sim</v>
          </cell>
        </row>
        <row r="149">
          <cell r="F149">
            <v>122328</v>
          </cell>
          <cell r="G149">
            <v>236981</v>
          </cell>
          <cell r="H149">
            <v>30910751000106</v>
          </cell>
          <cell r="I149" t="str">
            <v>FRANQUEADORA O BURGUES LTDA</v>
          </cell>
          <cell r="J149" t="str">
            <v>AVENIDA LUIS CARLOS PRESTES</v>
          </cell>
          <cell r="K149">
            <v>290</v>
          </cell>
          <cell r="L149" t="str">
            <v>SAL 304</v>
          </cell>
          <cell r="M149" t="str">
            <v>BARRA DA TIJUCA</v>
          </cell>
          <cell r="N149" t="str">
            <v>RIO DE JANEIRO</v>
          </cell>
          <cell r="O149" t="str">
            <v>RJ</v>
          </cell>
          <cell r="Q149">
            <v>22775055</v>
          </cell>
          <cell r="R149">
            <v>170102220</v>
          </cell>
          <cell r="S149">
            <v>2</v>
          </cell>
          <cell r="T149">
            <v>2</v>
          </cell>
          <cell r="U149" t="str">
            <v>AntiFraude: Transações: 87 - Total: R$ 0,01 (Cobrança pelo mínimo mensal) Analista de Risco: R$ 4.850,81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149">
            <v>4949.82</v>
          </cell>
          <cell r="W149">
            <v>99</v>
          </cell>
          <cell r="X149">
            <v>74.25</v>
          </cell>
          <cell r="Y149">
            <v>32.17</v>
          </cell>
          <cell r="Z149">
            <v>148.49</v>
          </cell>
          <cell r="AA149">
            <v>49.5</v>
          </cell>
          <cell r="AB149">
            <v>4949.82</v>
          </cell>
          <cell r="AC149">
            <v>0</v>
          </cell>
          <cell r="AD149">
            <v>0</v>
          </cell>
          <cell r="AE149" t="str">
            <v>Sim</v>
          </cell>
        </row>
        <row r="150">
          <cell r="F150">
            <v>122329</v>
          </cell>
          <cell r="G150">
            <v>236997</v>
          </cell>
          <cell r="H150">
            <v>7083987000366</v>
          </cell>
          <cell r="I150" t="str">
            <v>AYLO INDUSTRIA E COMERCIO DO VESTUARIO S.A.</v>
          </cell>
          <cell r="J150" t="str">
            <v>RUA ALASKA</v>
          </cell>
          <cell r="K150">
            <v>136</v>
          </cell>
          <cell r="M150" t="str">
            <v>JARDIM CANADA</v>
          </cell>
          <cell r="N150" t="str">
            <v>NOVA LIMA</v>
          </cell>
          <cell r="O150" t="str">
            <v>MG</v>
          </cell>
          <cell r="Q150">
            <v>34007718</v>
          </cell>
          <cell r="R150">
            <v>170102220</v>
          </cell>
          <cell r="S150">
            <v>2</v>
          </cell>
          <cell r="T150">
            <v>2</v>
          </cell>
          <cell r="U150" t="str">
            <v>AntiFraude: Transações: 0 - Total: R$ 387,60 (Cobrança pelo mínimo mensal) (Período de apuração: 01/08/2026 à 31/08/2026) Vencimento: 26/09/2026 Brazilian Tax Information: Valor estimado dos tributos IBS e CBS, conforme disposto no art. 12 da Lei Complementar nº 214/2025 (Reforma Tributária sobre Consumo): R$3.96 (1%)</v>
          </cell>
          <cell r="V150">
            <v>395.51</v>
          </cell>
          <cell r="W150">
            <v>7.91</v>
          </cell>
          <cell r="X150">
            <v>0</v>
          </cell>
          <cell r="Y150">
            <v>2.57</v>
          </cell>
          <cell r="Z150">
            <v>11.87</v>
          </cell>
          <cell r="AA150">
            <v>3.96</v>
          </cell>
          <cell r="AB150">
            <v>395.51</v>
          </cell>
          <cell r="AC150">
            <v>0</v>
          </cell>
          <cell r="AD150">
            <v>0</v>
          </cell>
          <cell r="AE150" t="str">
            <v>Sim</v>
          </cell>
        </row>
        <row r="151">
          <cell r="F151">
            <v>122330</v>
          </cell>
          <cell r="G151">
            <v>236984</v>
          </cell>
          <cell r="H151">
            <v>88297544000108</v>
          </cell>
          <cell r="I151" t="str">
            <v>CIMAFER COMERCIO DE MATERIAL CONSTRUCAO LTDA</v>
          </cell>
          <cell r="J151" t="str">
            <v>AVENIDA DOUTOR CARLOS BARBOSA</v>
          </cell>
          <cell r="K151">
            <v>760</v>
          </cell>
          <cell r="L151">
            <v>820</v>
          </cell>
          <cell r="M151" t="str">
            <v>MEDIANEIRA</v>
          </cell>
          <cell r="N151" t="str">
            <v>PORTO ALEGRE</v>
          </cell>
          <cell r="O151" t="str">
            <v>RS</v>
          </cell>
          <cell r="Q151">
            <v>90880000</v>
          </cell>
          <cell r="R151">
            <v>170102220</v>
          </cell>
          <cell r="S151">
            <v>2</v>
          </cell>
          <cell r="T151">
            <v>2</v>
          </cell>
          <cell r="U151" t="str">
            <v>AntiFraude: Transações: 0 -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R$2.07 (1%)</v>
          </cell>
          <cell r="V151">
            <v>207.46</v>
          </cell>
          <cell r="W151">
            <v>4.1500000000000004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207.46</v>
          </cell>
          <cell r="AC151">
            <v>0</v>
          </cell>
          <cell r="AD151">
            <v>0</v>
          </cell>
          <cell r="AE151" t="str">
            <v>Sim</v>
          </cell>
        </row>
        <row r="152">
          <cell r="F152">
            <v>122331</v>
          </cell>
          <cell r="G152">
            <v>237012</v>
          </cell>
          <cell r="H152">
            <v>15088043000148</v>
          </cell>
          <cell r="I152" t="str">
            <v>COMERCIAL JAD ZEN LTDA</v>
          </cell>
          <cell r="J152" t="str">
            <v>RUA DOS CAETES</v>
          </cell>
          <cell r="K152">
            <v>523</v>
          </cell>
          <cell r="L152" t="str">
            <v>: NUMERO 5 25</v>
          </cell>
          <cell r="M152" t="str">
            <v>CENTRO</v>
          </cell>
          <cell r="N152" t="str">
            <v>BELO HORIZONTE</v>
          </cell>
          <cell r="O152" t="str">
            <v>MG</v>
          </cell>
          <cell r="Q152">
            <v>30120080</v>
          </cell>
          <cell r="R152">
            <v>170102220</v>
          </cell>
          <cell r="S152">
            <v>2</v>
          </cell>
          <cell r="T152">
            <v>2</v>
          </cell>
          <cell r="U152" t="str">
            <v>AntiFraude: Transações: 0 - Total: R$ 226,57 (Cobrança pelo mínimo mensal) (Período de apuração: 01/08/2026 à 31/08/2026) Vencimento: 26/09/2026 Brazilian Tax Information: Valor estimado dos tributos IBS e CBS, conforme disposto no art. 12 da Lei Complementar nº 214/2025 (Reforma Tributária sobre Consumo): R$2.31 (1%)</v>
          </cell>
          <cell r="V152">
            <v>231.19</v>
          </cell>
          <cell r="W152">
            <v>4.62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231.19</v>
          </cell>
          <cell r="AC152">
            <v>0</v>
          </cell>
          <cell r="AD152">
            <v>0</v>
          </cell>
          <cell r="AE152" t="str">
            <v>Sim</v>
          </cell>
        </row>
        <row r="153">
          <cell r="F153">
            <v>122332</v>
          </cell>
          <cell r="G153">
            <v>236980</v>
          </cell>
          <cell r="H153">
            <v>7325273000155</v>
          </cell>
          <cell r="I153" t="str">
            <v>FORMULA &amp; BASE FARMACIA DE MANIPULACAO LTDA</v>
          </cell>
          <cell r="J153" t="str">
            <v>AVENIDA DAS AMERICAS</v>
          </cell>
          <cell r="K153">
            <v>16150</v>
          </cell>
          <cell r="L153" t="str">
            <v>LOJA 130</v>
          </cell>
          <cell r="M153" t="str">
            <v>RECREIO DOS BANDEIRA</v>
          </cell>
          <cell r="N153" t="str">
            <v>RIO DE JANEIRO</v>
          </cell>
          <cell r="O153" t="str">
            <v>RJ</v>
          </cell>
          <cell r="Q153">
            <v>22790704</v>
          </cell>
          <cell r="R153">
            <v>170102220</v>
          </cell>
          <cell r="S153">
            <v>2</v>
          </cell>
          <cell r="T153">
            <v>2</v>
          </cell>
          <cell r="U153" t="str">
            <v>AntiFraude: Transações: 0 - Total: R$ 491,98 (Cobrança pelo mínimo mensal) (Período de apuração: 01/08/2026 à 31/08/2026) Vencimento: 26/09/2026 Brazilian Tax Information: Valor estimado dos tributos IBS e CBS, conforme disposto no art. 12 da Lei Complementar nº 214/2025 (Reforma Tributária sobre Consumo): R$5.02 (1%)</v>
          </cell>
          <cell r="V153">
            <v>502.02</v>
          </cell>
          <cell r="W153">
            <v>10.039999999999999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502.02</v>
          </cell>
          <cell r="AC153">
            <v>0</v>
          </cell>
          <cell r="AD153">
            <v>0</v>
          </cell>
          <cell r="AE153" t="str">
            <v>Sim</v>
          </cell>
        </row>
        <row r="154">
          <cell r="F154">
            <v>122333</v>
          </cell>
          <cell r="G154">
            <v>236983</v>
          </cell>
          <cell r="H154">
            <v>25448394000176</v>
          </cell>
          <cell r="I154" t="str">
            <v>EMPORIO SAUDAVEL COMERCIO DE ALIMENTOS LTDA</v>
          </cell>
          <cell r="J154" t="str">
            <v>RUA RAUL VEIGA</v>
          </cell>
          <cell r="K154">
            <v>532</v>
          </cell>
          <cell r="L154" t="str">
            <v>LOJA B</v>
          </cell>
          <cell r="M154" t="str">
            <v>CENTRO</v>
          </cell>
          <cell r="N154" t="str">
            <v>CABO FRIO</v>
          </cell>
          <cell r="O154" t="str">
            <v>RJ</v>
          </cell>
          <cell r="Q154">
            <v>28907090</v>
          </cell>
          <cell r="R154">
            <v>170102220</v>
          </cell>
          <cell r="S154">
            <v>2</v>
          </cell>
          <cell r="T154">
            <v>2</v>
          </cell>
          <cell r="U154" t="str">
            <v>AntiFraude: Transações: 0 - Total: R$ 148,89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154">
            <v>151.93</v>
          </cell>
          <cell r="W154">
            <v>3.04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151.93</v>
          </cell>
          <cell r="AC154">
            <v>0</v>
          </cell>
          <cell r="AD154">
            <v>0</v>
          </cell>
          <cell r="AE154" t="str">
            <v>Sim</v>
          </cell>
        </row>
        <row r="155">
          <cell r="F155">
            <v>122334</v>
          </cell>
          <cell r="G155">
            <v>237013</v>
          </cell>
          <cell r="H155">
            <v>1963040000100</v>
          </cell>
          <cell r="I155" t="str">
            <v>ALVORADA COMERCIO DE PRODUTOS AGROPECUARIOS LTDA</v>
          </cell>
          <cell r="J155" t="str">
            <v>AVENIDA MARCELINO PIRES</v>
          </cell>
          <cell r="K155">
            <v>1070</v>
          </cell>
          <cell r="M155" t="str">
            <v>CENTRO</v>
          </cell>
          <cell r="N155" t="str">
            <v>DOURADOS</v>
          </cell>
          <cell r="O155" t="str">
            <v>MS</v>
          </cell>
          <cell r="Q155">
            <v>79801001</v>
          </cell>
          <cell r="R155">
            <v>170102220</v>
          </cell>
          <cell r="S155">
            <v>2</v>
          </cell>
          <cell r="T155">
            <v>2</v>
          </cell>
          <cell r="U155" t="str">
            <v>AntiFraude: Transações: 89 - Total: R$ 142,66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v>
          </cell>
          <cell r="V155">
            <v>145.57</v>
          </cell>
          <cell r="W155">
            <v>2.91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145.57</v>
          </cell>
          <cell r="AC155">
            <v>0</v>
          </cell>
          <cell r="AD155">
            <v>0</v>
          </cell>
          <cell r="AE155" t="str">
            <v>Sim</v>
          </cell>
        </row>
        <row r="156">
          <cell r="F156">
            <v>122335</v>
          </cell>
          <cell r="G156">
            <v>237004</v>
          </cell>
          <cell r="H156">
            <v>2971360000832</v>
          </cell>
          <cell r="I156" t="str">
            <v>DISVECO LTDA</v>
          </cell>
          <cell r="J156" t="str">
            <v>RODOVIA BR 230</v>
          </cell>
          <cell r="K156" t="str">
            <v>SN</v>
          </cell>
          <cell r="L156" t="str">
            <v>KM QUATRO E MEIO</v>
          </cell>
          <cell r="M156" t="str">
            <v>NOVA MARABA</v>
          </cell>
          <cell r="N156" t="str">
            <v>MARABA</v>
          </cell>
          <cell r="O156" t="str">
            <v>PA</v>
          </cell>
          <cell r="Q156">
            <v>68507765</v>
          </cell>
          <cell r="R156">
            <v>170102220</v>
          </cell>
          <cell r="S156">
            <v>2</v>
          </cell>
          <cell r="T156">
            <v>2</v>
          </cell>
          <cell r="U156" t="str">
            <v>AntiFraude: Transações: 0 - Total: R$ 497,21 (Cobrança pelo mínimo mensal) (Período de apuração: 01/08/2026 à 31/08/2026) Vencimento: 26/09/2026 Brazilian Tax Information: Valor estimado dos tributos IBS e CBS, conforme disposto no art. 12 da Lei Complementar nº 214/2025 (Reforma Tributária sobre Consumo): R$5.07 (1%)</v>
          </cell>
          <cell r="V156">
            <v>507.36</v>
          </cell>
          <cell r="W156">
            <v>10.15</v>
          </cell>
          <cell r="X156">
            <v>0</v>
          </cell>
          <cell r="Y156">
            <v>3.3</v>
          </cell>
          <cell r="Z156">
            <v>15.22</v>
          </cell>
          <cell r="AA156">
            <v>5.07</v>
          </cell>
          <cell r="AB156">
            <v>507.36</v>
          </cell>
          <cell r="AC156">
            <v>0</v>
          </cell>
          <cell r="AD156">
            <v>0</v>
          </cell>
          <cell r="AE156" t="str">
            <v>Sim</v>
          </cell>
        </row>
        <row r="157">
          <cell r="F157">
            <v>122336</v>
          </cell>
          <cell r="G157">
            <v>237009</v>
          </cell>
          <cell r="H157">
            <v>11112928000184</v>
          </cell>
          <cell r="I157" t="str">
            <v>CYCLOTRONICS TECNOLOGIA E DESENVOLVIMENTO DE ARTIGOS ESPORTI</v>
          </cell>
          <cell r="J157" t="str">
            <v>RUA EMILIO DE MENEZES</v>
          </cell>
          <cell r="K157">
            <v>853</v>
          </cell>
          <cell r="M157" t="str">
            <v>OFICINAS</v>
          </cell>
          <cell r="N157" t="str">
            <v>PONTA GROSSA</v>
          </cell>
          <cell r="O157" t="str">
            <v>PR</v>
          </cell>
          <cell r="Q157">
            <v>84040030</v>
          </cell>
          <cell r="R157">
            <v>170102220</v>
          </cell>
          <cell r="S157">
            <v>2</v>
          </cell>
          <cell r="T157">
            <v>2</v>
          </cell>
          <cell r="U157" t="str">
            <v>AntiFraude: Transações: 0 - Total: R$ 249,94 (Cobrança pelo mínimo mensal) (Período de apuração: 01/08/2026 à 31/08/2026) Vencimento: 26/09/2026 Brazilian Tax Information: Valor estimado dos tributos IBS e CBS, conforme disposto no art. 12 da Lei Complementar nº 214/2025 (Reforma Tributária sobre Consumo): R$2.55 (1%)</v>
          </cell>
          <cell r="V157">
            <v>255.04</v>
          </cell>
          <cell r="W157">
            <v>5.0999999999999996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255.04</v>
          </cell>
          <cell r="AC157">
            <v>0</v>
          </cell>
          <cell r="AD157">
            <v>0</v>
          </cell>
          <cell r="AE157" t="str">
            <v>Sim</v>
          </cell>
        </row>
        <row r="158">
          <cell r="F158">
            <v>122337</v>
          </cell>
          <cell r="G158">
            <v>237005</v>
          </cell>
          <cell r="H158">
            <v>50035354000140</v>
          </cell>
          <cell r="I158" t="str">
            <v>BMM PROMOCAO DE VENDAS LTDA</v>
          </cell>
          <cell r="J158" t="str">
            <v>AVENIDA PAULISTA</v>
          </cell>
          <cell r="K158">
            <v>1636</v>
          </cell>
          <cell r="L158" t="str">
            <v>SALA 1504</v>
          </cell>
          <cell r="M158" t="str">
            <v>BELA VISTA</v>
          </cell>
          <cell r="N158" t="str">
            <v>SAO PAULO</v>
          </cell>
          <cell r="O158" t="str">
            <v>SP</v>
          </cell>
          <cell r="Q158">
            <v>1310200</v>
          </cell>
          <cell r="R158">
            <v>170102220</v>
          </cell>
          <cell r="S158">
            <v>2</v>
          </cell>
          <cell r="T158">
            <v>2</v>
          </cell>
          <cell r="U158" t="str">
            <v>AntiFraude: Transações: 0 - Total: R$ 421,81 (Cobrança pelo mínimo mensal) (Período de apuração: 01/08/2026 à 31/08/2026) Vencimento: 26/09/2026 Brazilian Tax Information: Valor estimado dos tributos IBS e CBS, conforme disposto no art. 12 da Lei Complementar nº 214/2025 (Reforma Tributária sobre Consumo): R$4.30 (1%)</v>
          </cell>
          <cell r="V158">
            <v>430.42</v>
          </cell>
          <cell r="W158">
            <v>8.61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430.42</v>
          </cell>
          <cell r="AC158">
            <v>0</v>
          </cell>
          <cell r="AD158">
            <v>0</v>
          </cell>
          <cell r="AE158" t="str">
            <v>Sim</v>
          </cell>
        </row>
        <row r="159">
          <cell r="F159">
            <v>122338</v>
          </cell>
          <cell r="G159">
            <v>236998</v>
          </cell>
          <cell r="H159">
            <v>53024429000185</v>
          </cell>
          <cell r="I159" t="str">
            <v>ESQUINAO CONVENIENCIA LTDA</v>
          </cell>
          <cell r="J159" t="str">
            <v>AVENIDA CAMPESTRE</v>
          </cell>
          <cell r="K159">
            <v>212</v>
          </cell>
          <cell r="L159" t="str">
            <v>SERVICO</v>
          </cell>
          <cell r="M159" t="str">
            <v>JARDIM CENTENARIO</v>
          </cell>
          <cell r="N159" t="str">
            <v>CAMPO GRANDE</v>
          </cell>
          <cell r="O159" t="str">
            <v>MS</v>
          </cell>
          <cell r="Q159">
            <v>79076005</v>
          </cell>
          <cell r="R159">
            <v>170102220</v>
          </cell>
          <cell r="S159">
            <v>2</v>
          </cell>
          <cell r="T159">
            <v>2</v>
          </cell>
          <cell r="U159" t="str">
            <v>AntiFraude: Transações: 0 - Total: R$ 430,08 (Cobrança pelo mínimo mensal) (Período de apuração: 01/08/2026 à 31/08/2026) Vencimento: 26/09/2026 Brazilian Tax Information: Valor estimado dos tributos IBS e CBS, conforme disposto no art. 12 da Lei Complementar nº 214/2025 (Reforma Tributária sobre Consumo): R$4.39 (1%)</v>
          </cell>
          <cell r="V159">
            <v>438.86</v>
          </cell>
          <cell r="W159">
            <v>8.7799999999999994</v>
          </cell>
          <cell r="X159">
            <v>0</v>
          </cell>
          <cell r="Y159">
            <v>2.85</v>
          </cell>
          <cell r="Z159">
            <v>13.17</v>
          </cell>
          <cell r="AA159">
            <v>4.3899999999999997</v>
          </cell>
          <cell r="AB159">
            <v>438.86</v>
          </cell>
          <cell r="AC159">
            <v>0</v>
          </cell>
          <cell r="AD159">
            <v>0</v>
          </cell>
          <cell r="AE159" t="str">
            <v>Sim</v>
          </cell>
        </row>
        <row r="160">
          <cell r="F160">
            <v>122339</v>
          </cell>
          <cell r="G160">
            <v>236972</v>
          </cell>
          <cell r="H160">
            <v>94673480000103</v>
          </cell>
          <cell r="I160" t="str">
            <v>CAR HOUSE VEICULOS LTDA</v>
          </cell>
          <cell r="J160" t="str">
            <v>AVENIDA SERTORIO</v>
          </cell>
          <cell r="K160">
            <v>1717</v>
          </cell>
          <cell r="M160" t="str">
            <v>SAO JOAO</v>
          </cell>
          <cell r="N160" t="str">
            <v>PORTO ALEGRE</v>
          </cell>
          <cell r="O160" t="str">
            <v>RS</v>
          </cell>
          <cell r="Q160">
            <v>91020001</v>
          </cell>
          <cell r="R160">
            <v>170102220</v>
          </cell>
          <cell r="S160">
            <v>2</v>
          </cell>
          <cell r="T160">
            <v>2</v>
          </cell>
          <cell r="U160" t="str">
            <v>AntiFraude: Transações: 0 - Total: R$ 505,33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v>
          </cell>
          <cell r="V160">
            <v>515.64</v>
          </cell>
          <cell r="W160">
            <v>10.31</v>
          </cell>
          <cell r="X160">
            <v>0</v>
          </cell>
          <cell r="Y160">
            <v>3.35</v>
          </cell>
          <cell r="Z160">
            <v>15.47</v>
          </cell>
          <cell r="AA160">
            <v>5.16</v>
          </cell>
          <cell r="AB160">
            <v>515.64</v>
          </cell>
          <cell r="AC160">
            <v>0</v>
          </cell>
          <cell r="AD160">
            <v>0</v>
          </cell>
          <cell r="AE160" t="str">
            <v>Sim</v>
          </cell>
        </row>
        <row r="161">
          <cell r="F161">
            <v>122340</v>
          </cell>
          <cell r="G161">
            <v>236978</v>
          </cell>
          <cell r="H161">
            <v>38256671000190</v>
          </cell>
          <cell r="I161" t="str">
            <v>ELISA COFFEE ROASTERS LTDA</v>
          </cell>
          <cell r="J161" t="str">
            <v>RUA SERGIPE</v>
          </cell>
          <cell r="K161">
            <v>1149</v>
          </cell>
          <cell r="M161" t="str">
            <v>SAVASSI</v>
          </cell>
          <cell r="N161" t="str">
            <v>BELO HORIZONTE</v>
          </cell>
          <cell r="O161" t="str">
            <v>MG</v>
          </cell>
          <cell r="Q161">
            <v>30130174</v>
          </cell>
          <cell r="R161">
            <v>170102220</v>
          </cell>
          <cell r="S161">
            <v>2</v>
          </cell>
          <cell r="T161">
            <v>2</v>
          </cell>
          <cell r="U161" t="str">
            <v>AntiFraude: Transações: 0 - Total: R$ 86,29 (Cobrança pelo mínimo mensal) (Período de apuração: 01/08/2026 à 31/08/2026) Vencimento: 26/09/2026 Brazilian Tax Information: Valor estimado dos tributos IBS e CBS, conforme disposto no art. 12 da Lei Complementar nº 214/2025 (Reforma Tributária sobre Consumo): R$0.88 (1%)</v>
          </cell>
          <cell r="V161">
            <v>88.05</v>
          </cell>
          <cell r="W161">
            <v>1.76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88.05</v>
          </cell>
          <cell r="AC161">
            <v>0</v>
          </cell>
          <cell r="AD161">
            <v>0</v>
          </cell>
          <cell r="AE161" t="str">
            <v>Sim</v>
          </cell>
        </row>
        <row r="162">
          <cell r="F162">
            <v>122341</v>
          </cell>
          <cell r="G162">
            <v>236991</v>
          </cell>
          <cell r="H162">
            <v>63605653000114</v>
          </cell>
          <cell r="I162" t="str">
            <v>ACRE COMERCIO E ADMINISTRACAO LTDA</v>
          </cell>
          <cell r="J162" t="str">
            <v>RODOVIA BR  364</v>
          </cell>
          <cell r="K162">
            <v>4245</v>
          </cell>
          <cell r="M162" t="str">
            <v>SANTA  INES</v>
          </cell>
          <cell r="N162" t="str">
            <v>RIO BRANCO</v>
          </cell>
          <cell r="O162" t="str">
            <v>AC</v>
          </cell>
          <cell r="Q162">
            <v>69907701</v>
          </cell>
          <cell r="R162">
            <v>170102220</v>
          </cell>
          <cell r="S162">
            <v>2</v>
          </cell>
          <cell r="T162">
            <v>2</v>
          </cell>
          <cell r="U162" t="str">
            <v>AntiFraude: Transações: 0 - Total: R$ 475,61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v>
          </cell>
          <cell r="V162">
            <v>485.32</v>
          </cell>
          <cell r="W162">
            <v>9.7100000000000009</v>
          </cell>
          <cell r="X162">
            <v>0</v>
          </cell>
          <cell r="Y162">
            <v>3.15</v>
          </cell>
          <cell r="Z162">
            <v>14.56</v>
          </cell>
          <cell r="AA162">
            <v>4.8499999999999996</v>
          </cell>
          <cell r="AB162">
            <v>485.32</v>
          </cell>
          <cell r="AC162">
            <v>0</v>
          </cell>
          <cell r="AD162">
            <v>0</v>
          </cell>
          <cell r="AE162" t="str">
            <v>Sim</v>
          </cell>
        </row>
        <row r="163">
          <cell r="F163">
            <v>122342</v>
          </cell>
          <cell r="G163">
            <v>237008</v>
          </cell>
          <cell r="H163">
            <v>1154956001859</v>
          </cell>
          <cell r="I163" t="str">
            <v>BELA TINTAS LTDA</v>
          </cell>
          <cell r="J163" t="str">
            <v>AVENIDA PIRAPORINHA 1111</v>
          </cell>
          <cell r="K163">
            <v>1111</v>
          </cell>
          <cell r="L163" t="str">
            <v>GALPAO: 01</v>
          </cell>
          <cell r="M163" t="str">
            <v>PLANALTO</v>
          </cell>
          <cell r="N163" t="str">
            <v>SAO BERNARDO DO CAMPO</v>
          </cell>
          <cell r="O163" t="str">
            <v>SP</v>
          </cell>
          <cell r="Q163">
            <v>9891900</v>
          </cell>
          <cell r="R163">
            <v>170102220</v>
          </cell>
          <cell r="S163">
            <v>2</v>
          </cell>
          <cell r="T163">
            <v>2</v>
          </cell>
          <cell r="U163" t="str">
            <v>AntiFraude: Transações: 0 - Total: R$ 140,21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v>
          </cell>
          <cell r="V163">
            <v>143.07</v>
          </cell>
          <cell r="W163">
            <v>2.86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143.07</v>
          </cell>
          <cell r="AC163">
            <v>0</v>
          </cell>
          <cell r="AD163">
            <v>0</v>
          </cell>
          <cell r="AE163" t="str">
            <v>Sim</v>
          </cell>
        </row>
        <row r="164">
          <cell r="F164">
            <v>122343</v>
          </cell>
          <cell r="G164">
            <v>237045</v>
          </cell>
          <cell r="H164">
            <v>29136973000134</v>
          </cell>
          <cell r="I164" t="str">
            <v>GOSPA VIAGENS E PEREGRINACOES LTDA</v>
          </cell>
          <cell r="J164" t="str">
            <v>RUA JOAO FRANCISCO LISBOA</v>
          </cell>
          <cell r="K164">
            <v>385</v>
          </cell>
          <cell r="L164" t="str">
            <v>CXPST 030</v>
          </cell>
          <cell r="M164" t="str">
            <v>VARZEA</v>
          </cell>
          <cell r="N164" t="str">
            <v>RECIFE</v>
          </cell>
          <cell r="O164" t="str">
            <v>PE</v>
          </cell>
          <cell r="Q164">
            <v>50741100</v>
          </cell>
          <cell r="R164">
            <v>170102220</v>
          </cell>
          <cell r="S164">
            <v>2</v>
          </cell>
          <cell r="T164">
            <v>2</v>
          </cell>
          <cell r="U164" t="str">
            <v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v>
          </cell>
          <cell r="V164">
            <v>138.78</v>
          </cell>
          <cell r="W164">
            <v>2.78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138.78</v>
          </cell>
          <cell r="AC164">
            <v>0</v>
          </cell>
          <cell r="AD164">
            <v>0</v>
          </cell>
          <cell r="AE164" t="str">
            <v>Sim</v>
          </cell>
        </row>
        <row r="165">
          <cell r="F165">
            <v>122344</v>
          </cell>
          <cell r="G165">
            <v>237051</v>
          </cell>
          <cell r="H165">
            <v>51931954000159</v>
          </cell>
          <cell r="I165" t="str">
            <v>EP ENGENHARIA DO PROCESSO LTDA.</v>
          </cell>
          <cell r="J165" t="str">
            <v>AVENIDA MATHIAS LOPES</v>
          </cell>
          <cell r="K165">
            <v>2600</v>
          </cell>
          <cell r="M165" t="str">
            <v>MASCATE</v>
          </cell>
          <cell r="N165" t="str">
            <v>NAZARE PAULISTA</v>
          </cell>
          <cell r="O165" t="str">
            <v>SP</v>
          </cell>
          <cell r="Q165">
            <v>12960000</v>
          </cell>
          <cell r="R165">
            <v>170102220</v>
          </cell>
          <cell r="S165">
            <v>2</v>
          </cell>
          <cell r="T165">
            <v>2</v>
          </cell>
          <cell r="U165" t="str">
            <v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v>
          </cell>
          <cell r="V165">
            <v>138.78</v>
          </cell>
          <cell r="W165">
            <v>2.78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138.78</v>
          </cell>
          <cell r="AC165">
            <v>0</v>
          </cell>
          <cell r="AD165">
            <v>0</v>
          </cell>
          <cell r="AE165" t="str">
            <v>Sim</v>
          </cell>
        </row>
        <row r="166">
          <cell r="F166">
            <v>122345</v>
          </cell>
          <cell r="G166">
            <v>237024</v>
          </cell>
          <cell r="H166">
            <v>53512848000166</v>
          </cell>
          <cell r="I166" t="str">
            <v>ALIGNER SOLUTIONS LTDA</v>
          </cell>
          <cell r="J166" t="str">
            <v>AVENIDA DO CONTORNO</v>
          </cell>
          <cell r="K166">
            <v>5491</v>
          </cell>
          <cell r="L166" t="str">
            <v>SALA 303</v>
          </cell>
          <cell r="M166" t="str">
            <v>CRUZEIRO</v>
          </cell>
          <cell r="N166" t="str">
            <v>BELO HORIZONTE</v>
          </cell>
          <cell r="O166" t="str">
            <v>MG</v>
          </cell>
          <cell r="Q166">
            <v>30110035</v>
          </cell>
          <cell r="R166">
            <v>170102220</v>
          </cell>
          <cell r="S166">
            <v>2</v>
          </cell>
          <cell r="T166">
            <v>2</v>
          </cell>
          <cell r="U166" t="str">
            <v>AntiFraude: Transações: 0 - Total: R$ 246,00 (Cobrança pelo mínimo mensal) (Período de apuração: 01/08/2026 à 31/08/2026) Vencimento: 26/09/2026 Brazilian Tax Information: Valor estimado dos tributos IBS e CBS, conforme disposto no art. 12 da Lei Complementar nº 214/2025 (Reforma Tributária sobre Consumo): R$2.51 (1%)</v>
          </cell>
          <cell r="V166">
            <v>251.02</v>
          </cell>
          <cell r="W166">
            <v>5.0199999999999996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251.02</v>
          </cell>
          <cell r="AC166">
            <v>0</v>
          </cell>
          <cell r="AD166">
            <v>0</v>
          </cell>
          <cell r="AE166" t="str">
            <v>Sim</v>
          </cell>
        </row>
        <row r="167">
          <cell r="F167">
            <v>122346</v>
          </cell>
          <cell r="G167">
            <v>237061</v>
          </cell>
          <cell r="H167">
            <v>54823600000189</v>
          </cell>
          <cell r="I167" t="str">
            <v>ACELERAI CONTEUDO E COMUNICACAO LTDA</v>
          </cell>
          <cell r="J167" t="str">
            <v>AVENIDA DAS NACOES UNIDAS</v>
          </cell>
          <cell r="K167">
            <v>14401</v>
          </cell>
          <cell r="L167" t="str">
            <v>ANDAR 18 C ONJ 182 S</v>
          </cell>
          <cell r="M167" t="str">
            <v>VILA GERTRUDES</v>
          </cell>
          <cell r="N167" t="str">
            <v>SAO PAULO</v>
          </cell>
          <cell r="O167" t="str">
            <v>SP</v>
          </cell>
          <cell r="Q167">
            <v>4794000</v>
          </cell>
          <cell r="R167">
            <v>170102220</v>
          </cell>
          <cell r="S167">
            <v>2</v>
          </cell>
          <cell r="T167">
            <v>2</v>
          </cell>
          <cell r="U167" t="str">
            <v>AntiFraude: Transações: 0 - Total: R$ 780,00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R$7.96 (1%)</v>
          </cell>
          <cell r="V167">
            <v>795.92</v>
          </cell>
          <cell r="W167">
            <v>15.92</v>
          </cell>
          <cell r="X167">
            <v>11.94</v>
          </cell>
          <cell r="Y167">
            <v>5.17</v>
          </cell>
          <cell r="Z167">
            <v>23.88</v>
          </cell>
          <cell r="AA167">
            <v>7.96</v>
          </cell>
          <cell r="AB167">
            <v>795.92</v>
          </cell>
          <cell r="AC167">
            <v>0</v>
          </cell>
          <cell r="AD167">
            <v>0</v>
          </cell>
          <cell r="AE167" t="str">
            <v>Sim</v>
          </cell>
        </row>
        <row r="168">
          <cell r="F168">
            <v>122347</v>
          </cell>
          <cell r="G168">
            <v>237035</v>
          </cell>
          <cell r="H168">
            <v>76657030000137</v>
          </cell>
          <cell r="I168" t="str">
            <v>BARION INDUSTRIA E COMERCIO DE ALIMENTOS S/A EM RECUPERACAO</v>
          </cell>
          <cell r="J168" t="str">
            <v>RUA CARMEN ZANON</v>
          </cell>
          <cell r="K168">
            <v>1736</v>
          </cell>
          <cell r="M168" t="str">
            <v>COLONIA FARIA</v>
          </cell>
          <cell r="N168" t="str">
            <v>COLOMBO</v>
          </cell>
          <cell r="O168" t="str">
            <v>PR</v>
          </cell>
          <cell r="Q168">
            <v>83412670</v>
          </cell>
          <cell r="R168">
            <v>170102220</v>
          </cell>
          <cell r="S168">
            <v>2</v>
          </cell>
          <cell r="T168">
            <v>2</v>
          </cell>
          <cell r="U168" t="str">
            <v>AntiFraude: Transações: 26 -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v>
          </cell>
          <cell r="V168">
            <v>173.47</v>
          </cell>
          <cell r="W168">
            <v>3.47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173.47</v>
          </cell>
          <cell r="AC168">
            <v>0</v>
          </cell>
          <cell r="AD168">
            <v>0</v>
          </cell>
          <cell r="AE168" t="str">
            <v>Sim</v>
          </cell>
        </row>
        <row r="169">
          <cell r="F169">
            <v>122348</v>
          </cell>
          <cell r="G169">
            <v>237056</v>
          </cell>
          <cell r="H169">
            <v>11175226000905</v>
          </cell>
          <cell r="I169" t="str">
            <v>FZ FARMA LTDA</v>
          </cell>
          <cell r="J169" t="str">
            <v>RUA SANTOS DUMONT</v>
          </cell>
          <cell r="K169">
            <v>391</v>
          </cell>
          <cell r="M169" t="str">
            <v>CENTRO</v>
          </cell>
          <cell r="N169" t="str">
            <v>SAO MIGUEL DO OESTE</v>
          </cell>
          <cell r="O169" t="str">
            <v>SC</v>
          </cell>
          <cell r="Q169">
            <v>89900000</v>
          </cell>
          <cell r="R169">
            <v>170102220</v>
          </cell>
          <cell r="S169">
            <v>2</v>
          </cell>
          <cell r="T169">
            <v>2</v>
          </cell>
          <cell r="U169" t="str">
            <v>AntiFraude: Transações: 6 - Total: R$ 5,06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69">
            <v>5.16</v>
          </cell>
          <cell r="W169">
            <v>0.1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5.16</v>
          </cell>
          <cell r="AC169">
            <v>0</v>
          </cell>
          <cell r="AD169">
            <v>0</v>
          </cell>
          <cell r="AE169" t="str">
            <v>Sim</v>
          </cell>
        </row>
        <row r="170">
          <cell r="F170">
            <v>122349</v>
          </cell>
          <cell r="G170">
            <v>237026</v>
          </cell>
          <cell r="H170">
            <v>32951535000134</v>
          </cell>
          <cell r="I170" t="str">
            <v>ELETROMAR MOVEIS E ELETRODOMESTICOS LTDA</v>
          </cell>
          <cell r="J170" t="str">
            <v>RODOVIA DA MUDANCA</v>
          </cell>
          <cell r="K170" t="str">
            <v>6399 N</v>
          </cell>
          <cell r="L170" t="str">
            <v>KM 5.7 CXP ST 43</v>
          </cell>
          <cell r="M170" t="str">
            <v>INDUSTRIAL</v>
          </cell>
          <cell r="N170" t="str">
            <v>LUCAS DO RIO VERDE</v>
          </cell>
          <cell r="O170" t="str">
            <v>MT</v>
          </cell>
          <cell r="Q170">
            <v>78460417</v>
          </cell>
          <cell r="R170">
            <v>170102220</v>
          </cell>
          <cell r="S170">
            <v>2</v>
          </cell>
          <cell r="T170">
            <v>2</v>
          </cell>
          <cell r="U170" t="str">
            <v>AntiFraude: Transações: 0 - Total: R$ 750,00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R$7.65 (1%)</v>
          </cell>
          <cell r="V170">
            <v>765.31</v>
          </cell>
          <cell r="W170">
            <v>15.31</v>
          </cell>
          <cell r="X170">
            <v>11.48</v>
          </cell>
          <cell r="Y170">
            <v>4.97</v>
          </cell>
          <cell r="Z170">
            <v>22.96</v>
          </cell>
          <cell r="AA170">
            <v>7.65</v>
          </cell>
          <cell r="AB170">
            <v>765.31</v>
          </cell>
          <cell r="AC170">
            <v>0</v>
          </cell>
          <cell r="AD170">
            <v>0</v>
          </cell>
          <cell r="AE170" t="str">
            <v>Sim</v>
          </cell>
        </row>
        <row r="171">
          <cell r="F171">
            <v>122350</v>
          </cell>
          <cell r="G171">
            <v>237025</v>
          </cell>
          <cell r="H171">
            <v>91982496001173</v>
          </cell>
          <cell r="I171" t="str">
            <v>COTRIPAL AGROPECUARIA COOPERATIVA</v>
          </cell>
          <cell r="J171" t="str">
            <v>RUA BENJAMIN CONSTANT</v>
          </cell>
          <cell r="K171">
            <v>85</v>
          </cell>
          <cell r="M171" t="str">
            <v>CENTRO</v>
          </cell>
          <cell r="N171" t="str">
            <v>PANAMBI</v>
          </cell>
          <cell r="O171" t="str">
            <v>RS</v>
          </cell>
          <cell r="Q171">
            <v>98280000</v>
          </cell>
          <cell r="R171">
            <v>170102220</v>
          </cell>
          <cell r="S171">
            <v>2</v>
          </cell>
          <cell r="T171">
            <v>2</v>
          </cell>
          <cell r="U171" t="str">
            <v>AntiFraude: Transações: 0 - Total: R$ 214,94 (Cobrança pelo mínimo mensal) (Período de apuração: 01/08/2026 à 31/08/2026) Vencimento: 26/09/2026 Brazilian Tax Information: Valor estimado dos tributos IBS e CBS, conforme disposto no art. 12 da Lei Complementar nº 214/2025 (Reforma Tributária sobre Consumo): R$2.19 (1%)</v>
          </cell>
          <cell r="V171">
            <v>219.33</v>
          </cell>
          <cell r="W171">
            <v>4.3899999999999997</v>
          </cell>
          <cell r="X171">
            <v>0</v>
          </cell>
          <cell r="Y171">
            <v>1.43</v>
          </cell>
          <cell r="Z171">
            <v>6.58</v>
          </cell>
          <cell r="AA171">
            <v>2.19</v>
          </cell>
          <cell r="AB171">
            <v>219.33</v>
          </cell>
          <cell r="AC171">
            <v>0</v>
          </cell>
          <cell r="AD171">
            <v>0</v>
          </cell>
          <cell r="AE171" t="str">
            <v>Sim</v>
          </cell>
        </row>
        <row r="172">
          <cell r="F172">
            <v>122351</v>
          </cell>
          <cell r="G172">
            <v>237030</v>
          </cell>
          <cell r="H172">
            <v>74607839000129</v>
          </cell>
          <cell r="I172" t="str">
            <v>DIPECARR DISTRIBUIDORA DE PECAS E ACESSORIOS PARA CARRETAS L</v>
          </cell>
          <cell r="J172" t="str">
            <v>AVENIDA JOAQUIM CONSTANTINO</v>
          </cell>
          <cell r="K172">
            <v>1511</v>
          </cell>
          <cell r="M172" t="str">
            <v>JD ALTO DA BOA VISTA</v>
          </cell>
          <cell r="N172" t="str">
            <v>PRESIDENTE PRUDENTE</v>
          </cell>
          <cell r="O172" t="str">
            <v>SP</v>
          </cell>
          <cell r="Q172">
            <v>19053300</v>
          </cell>
          <cell r="R172">
            <v>170102220</v>
          </cell>
          <cell r="S172">
            <v>2</v>
          </cell>
          <cell r="T172">
            <v>2</v>
          </cell>
          <cell r="U172" t="str">
            <v>AntiFraude: Transações: 0 - Total: R$ 430,78 (Cobrança pelo mínimo mensal) (Período de apuração: 01/08/2026 à 31/08/2026) Vencimento: 26/09/2026 Brazilian Tax Information: Valor estimado dos tributos IBS e CBS, conforme disposto no art. 12 da Lei Complementar nº 214/2025 (Reforma Tributária sobre Consumo): R$4.40 (1%)</v>
          </cell>
          <cell r="V172">
            <v>439.57</v>
          </cell>
          <cell r="W172">
            <v>8.7899999999999991</v>
          </cell>
          <cell r="X172">
            <v>0</v>
          </cell>
          <cell r="Y172">
            <v>2.86</v>
          </cell>
          <cell r="Z172">
            <v>13.19</v>
          </cell>
          <cell r="AA172">
            <v>4.4000000000000004</v>
          </cell>
          <cell r="AB172">
            <v>439.57</v>
          </cell>
          <cell r="AC172">
            <v>0</v>
          </cell>
          <cell r="AD172">
            <v>0</v>
          </cell>
          <cell r="AE172" t="str">
            <v>Sim</v>
          </cell>
        </row>
        <row r="173">
          <cell r="F173">
            <v>122352</v>
          </cell>
          <cell r="G173">
            <v>237033</v>
          </cell>
          <cell r="H173">
            <v>11175226000654</v>
          </cell>
          <cell r="I173" t="str">
            <v>FZ FARMA LTDA</v>
          </cell>
          <cell r="J173" t="str">
            <v>AVENIDA ANITA GARIBALDI</v>
          </cell>
          <cell r="K173">
            <v>211</v>
          </cell>
          <cell r="M173" t="str">
            <v>CENTRO</v>
          </cell>
          <cell r="N173" t="str">
            <v>MARAVILHA</v>
          </cell>
          <cell r="O173" t="str">
            <v>SC</v>
          </cell>
          <cell r="Q173">
            <v>89874000</v>
          </cell>
          <cell r="R173">
            <v>170102220</v>
          </cell>
          <cell r="S173">
            <v>2</v>
          </cell>
          <cell r="T173">
            <v>2</v>
          </cell>
          <cell r="U173" t="str">
            <v>AntiFraude: Transações: 16 - Tarifa: R$ 0,5600 - Total: R$ 8,96 (Período de apuração: 01/08/2026 à 31/08/2026) Vencimento: 26/09/2026 Brazilian Tax Information: Valor estimado dos tributos IBS e CBS, conforme disposto no art. 12 da Lei Complementar nº 214/2025 (Reforma Tributária sobre Consumo): R$0.09 (1%)</v>
          </cell>
          <cell r="V173">
            <v>9.14</v>
          </cell>
          <cell r="W173">
            <v>0.18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9.14</v>
          </cell>
          <cell r="AC173">
            <v>0</v>
          </cell>
          <cell r="AD173">
            <v>0</v>
          </cell>
          <cell r="AE173" t="str">
            <v>Sim</v>
          </cell>
        </row>
        <row r="174">
          <cell r="F174">
            <v>122353</v>
          </cell>
          <cell r="G174">
            <v>237016</v>
          </cell>
          <cell r="H174">
            <v>11175226000492</v>
          </cell>
          <cell r="I174" t="str">
            <v>FZ FARMA LTDA</v>
          </cell>
          <cell r="J174" t="str">
            <v>RUA MARECHAL BORMANN</v>
          </cell>
          <cell r="K174">
            <v>50</v>
          </cell>
          <cell r="M174" t="str">
            <v>CENTRO</v>
          </cell>
          <cell r="N174" t="str">
            <v>XANXERE</v>
          </cell>
          <cell r="O174" t="str">
            <v>SC</v>
          </cell>
          <cell r="Q174">
            <v>89820000</v>
          </cell>
          <cell r="R174">
            <v>170102220</v>
          </cell>
          <cell r="S174">
            <v>2</v>
          </cell>
          <cell r="T174">
            <v>2</v>
          </cell>
          <cell r="U174" t="str">
            <v>AntiFraude: Transações: 7 -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74">
            <v>5.14</v>
          </cell>
          <cell r="W174">
            <v>0.1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5.14</v>
          </cell>
          <cell r="AC174">
            <v>0</v>
          </cell>
          <cell r="AD174">
            <v>0</v>
          </cell>
          <cell r="AE174" t="str">
            <v>Sim</v>
          </cell>
        </row>
        <row r="175">
          <cell r="F175">
            <v>122354</v>
          </cell>
          <cell r="G175">
            <v>237059</v>
          </cell>
          <cell r="H175">
            <v>30870888001660</v>
          </cell>
          <cell r="I175" t="str">
            <v>CELIDONIO E OLIVO FARMACIA LTDA</v>
          </cell>
          <cell r="J175" t="str">
            <v>AVENIDA ECA DE QUEIROS LAGES DE MESQUITA</v>
          </cell>
          <cell r="K175">
            <v>347</v>
          </cell>
          <cell r="M175" t="str">
            <v>BELA VISTA</v>
          </cell>
          <cell r="N175" t="str">
            <v>ITAITUBA</v>
          </cell>
          <cell r="O175" t="str">
            <v>PA</v>
          </cell>
          <cell r="Q175">
            <v>68180220</v>
          </cell>
          <cell r="R175">
            <v>170102220</v>
          </cell>
          <cell r="S175">
            <v>2</v>
          </cell>
          <cell r="T175">
            <v>2</v>
          </cell>
          <cell r="U175" t="str">
            <v>AntiFraude: Transações: 22 - Tarifa: R$ 0,5600 - Total: R$ 12,32 (Período de apuração: 01/08/2026 à 31/08/2026) Vencimento: 26/09/2026 Brazilian Tax Information: Valor estimado dos tributos IBS e CBS, conforme disposto no art. 12 da Lei Complementar nº 214/2025 (Reforma Tributária sobre Consumo): R$0.13 (1%)</v>
          </cell>
          <cell r="V175">
            <v>12.57</v>
          </cell>
          <cell r="W175">
            <v>0.25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12.57</v>
          </cell>
          <cell r="AC175">
            <v>0</v>
          </cell>
          <cell r="AD175">
            <v>0</v>
          </cell>
          <cell r="AE175" t="str">
            <v>Sim</v>
          </cell>
        </row>
        <row r="176">
          <cell r="F176">
            <v>122355</v>
          </cell>
          <cell r="G176">
            <v>237037</v>
          </cell>
          <cell r="H176">
            <v>11175226000140</v>
          </cell>
          <cell r="I176" t="str">
            <v>FZ FARMA LTDA</v>
          </cell>
          <cell r="J176" t="str">
            <v>AVENIDA GIACOMO LUNARDI</v>
          </cell>
          <cell r="K176">
            <v>611</v>
          </cell>
          <cell r="M176" t="str">
            <v>ALVORADA</v>
          </cell>
          <cell r="N176" t="str">
            <v>XAXIM</v>
          </cell>
          <cell r="O176" t="str">
            <v>SC</v>
          </cell>
          <cell r="Q176">
            <v>89825000</v>
          </cell>
          <cell r="R176">
            <v>170102220</v>
          </cell>
          <cell r="S176">
            <v>2</v>
          </cell>
          <cell r="T176">
            <v>2</v>
          </cell>
          <cell r="U176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76">
            <v>5.14</v>
          </cell>
          <cell r="W176">
            <v>0.1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5.14</v>
          </cell>
          <cell r="AC176">
            <v>0</v>
          </cell>
          <cell r="AD176">
            <v>0</v>
          </cell>
          <cell r="AE176" t="str">
            <v>Sim</v>
          </cell>
        </row>
        <row r="177">
          <cell r="F177">
            <v>122356</v>
          </cell>
          <cell r="G177">
            <v>237017</v>
          </cell>
          <cell r="H177">
            <v>69069276000122</v>
          </cell>
          <cell r="I177" t="str">
            <v>FARMA POPULAR DROGARIA LTDA</v>
          </cell>
          <cell r="J177" t="str">
            <v>RUA ITINGUCU</v>
          </cell>
          <cell r="K177">
            <v>80</v>
          </cell>
          <cell r="M177" t="str">
            <v>VILA   RE</v>
          </cell>
          <cell r="N177" t="str">
            <v>SAO PAULO</v>
          </cell>
          <cell r="O177" t="str">
            <v>SP</v>
          </cell>
          <cell r="Q177">
            <v>3658000</v>
          </cell>
          <cell r="R177">
            <v>170102220</v>
          </cell>
          <cell r="S177">
            <v>2</v>
          </cell>
          <cell r="T177">
            <v>2</v>
          </cell>
          <cell r="U17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77">
            <v>5.14</v>
          </cell>
          <cell r="W177">
            <v>0.1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5.14</v>
          </cell>
          <cell r="AC177">
            <v>0</v>
          </cell>
          <cell r="AD177">
            <v>0</v>
          </cell>
          <cell r="AE177" t="str">
            <v>Sim</v>
          </cell>
        </row>
        <row r="178">
          <cell r="F178">
            <v>122357</v>
          </cell>
          <cell r="G178">
            <v>237014</v>
          </cell>
          <cell r="H178">
            <v>6006677000113</v>
          </cell>
          <cell r="I178" t="str">
            <v>DROGARIA VILA RE LTDA</v>
          </cell>
          <cell r="J178" t="str">
            <v>RUA ITINGUCU</v>
          </cell>
          <cell r="K178">
            <v>858</v>
          </cell>
          <cell r="M178" t="str">
            <v>VILA RE</v>
          </cell>
          <cell r="N178" t="str">
            <v>SAO PAULO</v>
          </cell>
          <cell r="O178" t="str">
            <v>SP</v>
          </cell>
          <cell r="Q178">
            <v>3658000</v>
          </cell>
          <cell r="R178">
            <v>170102220</v>
          </cell>
          <cell r="S178">
            <v>2</v>
          </cell>
          <cell r="T178">
            <v>2</v>
          </cell>
          <cell r="U178" t="str">
            <v>AntiFraude: Transações: 11 - Tarifa: R$ 0,5600 - Total: R$ 6,16 (Período de apuração: 01/08/2026 à 31/08/2026) Vencimento: 26/09/2026 Brazilian Tax Information: Valor estimado dos tributos IBS e CBS, conforme disposto no art. 12 da Lei Complementar nº 214/2025 (Reforma Tributária sobre Consumo): R$0.06 (1%)</v>
          </cell>
          <cell r="V178">
            <v>6.29</v>
          </cell>
          <cell r="W178">
            <v>0.13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6.29</v>
          </cell>
          <cell r="AC178">
            <v>0</v>
          </cell>
          <cell r="AD178">
            <v>0</v>
          </cell>
          <cell r="AE178" t="str">
            <v>Sim</v>
          </cell>
        </row>
        <row r="179">
          <cell r="F179">
            <v>122358</v>
          </cell>
          <cell r="G179">
            <v>237047</v>
          </cell>
          <cell r="H179">
            <v>11175226000735</v>
          </cell>
          <cell r="I179" t="str">
            <v>FZ FARMA LTDA</v>
          </cell>
          <cell r="J179" t="str">
            <v>RUA 7 DE SETEMBRO</v>
          </cell>
          <cell r="K179">
            <v>611</v>
          </cell>
          <cell r="L179" t="str">
            <v>D</v>
          </cell>
          <cell r="M179" t="str">
            <v>PRESIDENTE MEDICI</v>
          </cell>
          <cell r="N179" t="str">
            <v>CHAPECO</v>
          </cell>
          <cell r="O179" t="str">
            <v>SC</v>
          </cell>
          <cell r="Q179">
            <v>89801145</v>
          </cell>
          <cell r="R179">
            <v>170102220</v>
          </cell>
          <cell r="S179">
            <v>2</v>
          </cell>
          <cell r="T179">
            <v>2</v>
          </cell>
          <cell r="U179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79">
            <v>5.14</v>
          </cell>
          <cell r="W179">
            <v>0.1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5.14</v>
          </cell>
          <cell r="AC179">
            <v>0</v>
          </cell>
          <cell r="AD179">
            <v>0</v>
          </cell>
          <cell r="AE179" t="str">
            <v>Sim</v>
          </cell>
        </row>
        <row r="180">
          <cell r="F180">
            <v>122359</v>
          </cell>
          <cell r="G180">
            <v>237029</v>
          </cell>
          <cell r="H180">
            <v>11175226000220</v>
          </cell>
          <cell r="I180" t="str">
            <v>FZ FARMA LTDA</v>
          </cell>
          <cell r="J180" t="str">
            <v>AVENIDA PLINIO ARLINDO DE NES</v>
          </cell>
          <cell r="K180">
            <v>1291</v>
          </cell>
          <cell r="M180" t="str">
            <v>CENTRO</v>
          </cell>
          <cell r="N180" t="str">
            <v>XAXIM</v>
          </cell>
          <cell r="O180" t="str">
            <v>SC</v>
          </cell>
          <cell r="Q180">
            <v>89825000</v>
          </cell>
          <cell r="R180">
            <v>170102220</v>
          </cell>
          <cell r="S180">
            <v>2</v>
          </cell>
          <cell r="T180">
            <v>2</v>
          </cell>
          <cell r="U180" t="str">
            <v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80">
            <v>5.14</v>
          </cell>
          <cell r="W180">
            <v>0.1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5.14</v>
          </cell>
          <cell r="AC180">
            <v>0</v>
          </cell>
          <cell r="AD180">
            <v>0</v>
          </cell>
          <cell r="AE180" t="str">
            <v>Sim</v>
          </cell>
        </row>
        <row r="181">
          <cell r="F181">
            <v>122360</v>
          </cell>
          <cell r="G181">
            <v>237044</v>
          </cell>
          <cell r="H181">
            <v>11175226000573</v>
          </cell>
          <cell r="I181" t="str">
            <v>FZ FARMA LTDA</v>
          </cell>
          <cell r="J181" t="str">
            <v>AVENIDA SENADOR ATTILIO F .X. FONTANA</v>
          </cell>
          <cell r="K181">
            <v>2790</v>
          </cell>
          <cell r="L181" t="str">
            <v>E</v>
          </cell>
          <cell r="M181" t="str">
            <v>EFAPI</v>
          </cell>
          <cell r="N181" t="str">
            <v>CHAPECO</v>
          </cell>
          <cell r="O181" t="str">
            <v>SC</v>
          </cell>
          <cell r="Q181">
            <v>89809506</v>
          </cell>
          <cell r="R181">
            <v>170102220</v>
          </cell>
          <cell r="S181">
            <v>2</v>
          </cell>
          <cell r="T181">
            <v>2</v>
          </cell>
          <cell r="U181" t="str">
            <v>AntiFraude: Transações: 6 - Total: R$ 5,09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81">
            <v>5.19</v>
          </cell>
          <cell r="W181">
            <v>0.1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5.19</v>
          </cell>
          <cell r="AC181">
            <v>0</v>
          </cell>
          <cell r="AD181">
            <v>0</v>
          </cell>
          <cell r="AE181" t="str">
            <v>Sim</v>
          </cell>
        </row>
        <row r="182">
          <cell r="F182">
            <v>122361</v>
          </cell>
          <cell r="G182">
            <v>237022</v>
          </cell>
          <cell r="H182">
            <v>11175226000301</v>
          </cell>
          <cell r="I182" t="str">
            <v>FZ FARMA LTDA</v>
          </cell>
          <cell r="J182" t="str">
            <v>AVENIDA FERNANDO MACHADO</v>
          </cell>
          <cell r="K182">
            <v>2615</v>
          </cell>
          <cell r="L182" t="str">
            <v>D ESQ C/CA RLOS GOME</v>
          </cell>
          <cell r="M182" t="str">
            <v>SAO CRISTOVAO</v>
          </cell>
          <cell r="N182" t="str">
            <v>CHAPECO</v>
          </cell>
          <cell r="O182" t="str">
            <v>SC</v>
          </cell>
          <cell r="Q182">
            <v>89804001</v>
          </cell>
          <cell r="R182">
            <v>170102220</v>
          </cell>
          <cell r="S182">
            <v>2</v>
          </cell>
          <cell r="T182">
            <v>2</v>
          </cell>
          <cell r="U182" t="str">
            <v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v>
          </cell>
          <cell r="V182">
            <v>11.43</v>
          </cell>
          <cell r="W182">
            <v>0.23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11.43</v>
          </cell>
          <cell r="AC182">
            <v>0</v>
          </cell>
          <cell r="AD182">
            <v>0</v>
          </cell>
          <cell r="AE182" t="str">
            <v>Sim</v>
          </cell>
        </row>
        <row r="183">
          <cell r="F183">
            <v>122362</v>
          </cell>
          <cell r="G183">
            <v>237058</v>
          </cell>
          <cell r="H183">
            <v>7442852000188</v>
          </cell>
          <cell r="I183" t="str">
            <v>BEYOUNG COSMETICOS LTDA</v>
          </cell>
          <cell r="J183" t="str">
            <v>AVENIDA CAIO COTRIM</v>
          </cell>
          <cell r="K183">
            <v>46</v>
          </cell>
          <cell r="L183" t="str">
            <v>GALPAO01 S ALA 03</v>
          </cell>
          <cell r="M183" t="str">
            <v>ITAQUI</v>
          </cell>
          <cell r="N183" t="str">
            <v>ITAPEVI</v>
          </cell>
          <cell r="O183" t="str">
            <v>SP</v>
          </cell>
          <cell r="Q183">
            <v>6696060</v>
          </cell>
          <cell r="R183">
            <v>170102220</v>
          </cell>
          <cell r="S183">
            <v>2</v>
          </cell>
          <cell r="T183">
            <v>2</v>
          </cell>
          <cell r="U183" t="str">
            <v>AntiFraude: Transações: 0 - Total: R$ 989,51 (Cobrança pelo mínimo mensal) (Período de apuração: 01/08/2026 à 31/08/2026) Vencimento: 26/09/2026 Brazilian Tax Information: Valor estimado dos tributos IBS e CBS, conforme disposto no art. 12 da Lei Complementar nº 214/2025 (Reforma Tributária sobre Consumo): R$10.10 (1%)</v>
          </cell>
          <cell r="V183">
            <v>1009.7</v>
          </cell>
          <cell r="W183">
            <v>20.190000000000001</v>
          </cell>
          <cell r="X183">
            <v>15.15</v>
          </cell>
          <cell r="Y183">
            <v>6.56</v>
          </cell>
          <cell r="Z183">
            <v>30.29</v>
          </cell>
          <cell r="AA183">
            <v>10.1</v>
          </cell>
          <cell r="AB183">
            <v>1009.7</v>
          </cell>
          <cell r="AC183">
            <v>0</v>
          </cell>
          <cell r="AD183">
            <v>0</v>
          </cell>
          <cell r="AE183" t="str">
            <v>Sim</v>
          </cell>
        </row>
        <row r="184">
          <cell r="F184">
            <v>122363</v>
          </cell>
          <cell r="G184">
            <v>237015</v>
          </cell>
          <cell r="H184">
            <v>34227829000143</v>
          </cell>
          <cell r="I184" t="str">
            <v>DELUXE SPORTS COMERCIO IMPORTACAO E EXPORTACAO SERVICOS ESPO</v>
          </cell>
          <cell r="J184" t="str">
            <v>RUA MAURICIO F. KLABIN</v>
          </cell>
          <cell r="K184">
            <v>503</v>
          </cell>
          <cell r="L184" t="str">
            <v>LOJA 07 DO IMOVEL 47</v>
          </cell>
          <cell r="M184" t="str">
            <v>VILA MARIANA</v>
          </cell>
          <cell r="N184" t="str">
            <v>SAO PAULO</v>
          </cell>
          <cell r="O184" t="str">
            <v>SP</v>
          </cell>
          <cell r="Q184">
            <v>4120020</v>
          </cell>
          <cell r="R184">
            <v>170102220</v>
          </cell>
          <cell r="S184">
            <v>2</v>
          </cell>
          <cell r="T184">
            <v>2</v>
          </cell>
          <cell r="U184" t="str">
            <v>AntiFraude: Transações: 0 - Total: R$ 148,83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184">
            <v>151.87</v>
          </cell>
          <cell r="W184">
            <v>3.04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151.87</v>
          </cell>
          <cell r="AC184">
            <v>0</v>
          </cell>
          <cell r="AD184">
            <v>0</v>
          </cell>
          <cell r="AE184" t="str">
            <v>Sim</v>
          </cell>
        </row>
        <row r="185">
          <cell r="F185">
            <v>122364</v>
          </cell>
          <cell r="G185">
            <v>237043</v>
          </cell>
          <cell r="H185">
            <v>11517841000197</v>
          </cell>
          <cell r="I185" t="str">
            <v>COMPANHIA SULAMERICANA DE DISTRIBUICAO</v>
          </cell>
          <cell r="J185" t="str">
            <v>AVENIDA CARLOS CORREIA BORGES</v>
          </cell>
          <cell r="K185">
            <v>1188</v>
          </cell>
          <cell r="M185" t="str">
            <v>JARDIM GUAPORE</v>
          </cell>
          <cell r="N185" t="str">
            <v>MARINGA</v>
          </cell>
          <cell r="O185" t="str">
            <v>PR</v>
          </cell>
          <cell r="Q185">
            <v>87060000</v>
          </cell>
          <cell r="R185">
            <v>170102220</v>
          </cell>
          <cell r="S185">
            <v>2</v>
          </cell>
          <cell r="T185">
            <v>2</v>
          </cell>
          <cell r="U185" t="str">
            <v>AntiFraude: Transações: 3326 - Tarifa: R$ 0,4260 - Total: R$ 1.416,88 Analista de Risco: R$ 0,01 (Período de apuração: 01/08/2026 à 31/08/2026) Vencimento: 11/10/2026 Brazilian Tax Information: Valor estimado dos tributos IBS e CBS, conforme disposto no art. 12 da Lei Complementar nº 214/2025 (Reforma Tributária sobre Consumo): R$14.46 (1%)</v>
          </cell>
          <cell r="V185">
            <v>1445.81</v>
          </cell>
          <cell r="W185">
            <v>28.92</v>
          </cell>
          <cell r="X185">
            <v>21.69</v>
          </cell>
          <cell r="Y185">
            <v>9.4</v>
          </cell>
          <cell r="Z185">
            <v>43.37</v>
          </cell>
          <cell r="AA185">
            <v>14.46</v>
          </cell>
          <cell r="AB185">
            <v>1445.81</v>
          </cell>
          <cell r="AC185">
            <v>0</v>
          </cell>
          <cell r="AD185">
            <v>0</v>
          </cell>
          <cell r="AE185" t="str">
            <v>Sim</v>
          </cell>
        </row>
        <row r="186">
          <cell r="F186">
            <v>122365</v>
          </cell>
          <cell r="G186">
            <v>237074</v>
          </cell>
          <cell r="H186">
            <v>9357269000102</v>
          </cell>
          <cell r="I186" t="str">
            <v>DROGARIA E FARMACIA PEREIRA LTDA</v>
          </cell>
          <cell r="J186" t="str">
            <v>RUA DR. PEDRO ZIMMERMANN</v>
          </cell>
          <cell r="K186">
            <v>7190</v>
          </cell>
          <cell r="L186" t="str">
            <v>SALA 03</v>
          </cell>
          <cell r="M186" t="str">
            <v>ITOUPAVA CENTRAL</v>
          </cell>
          <cell r="N186" t="str">
            <v>BLUMENAU</v>
          </cell>
          <cell r="O186" t="str">
            <v>SC</v>
          </cell>
          <cell r="Q186">
            <v>89068001</v>
          </cell>
          <cell r="R186">
            <v>170102220</v>
          </cell>
          <cell r="S186">
            <v>2</v>
          </cell>
          <cell r="T186">
            <v>2</v>
          </cell>
          <cell r="U186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86">
            <v>5.21</v>
          </cell>
          <cell r="W186">
            <v>0.1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5.21</v>
          </cell>
          <cell r="AC186">
            <v>0</v>
          </cell>
          <cell r="AD186">
            <v>0</v>
          </cell>
          <cell r="AE186" t="str">
            <v>Sim</v>
          </cell>
        </row>
        <row r="187">
          <cell r="F187">
            <v>122366</v>
          </cell>
          <cell r="G187">
            <v>237082</v>
          </cell>
          <cell r="H187">
            <v>2391030000100</v>
          </cell>
          <cell r="I187" t="str">
            <v>FARMACIA ULTRAFARMA LTDA</v>
          </cell>
          <cell r="J187" t="str">
            <v>AVENIDA GETULIO VARGAS</v>
          </cell>
          <cell r="K187">
            <v>55</v>
          </cell>
          <cell r="M187" t="str">
            <v>CENTRO</v>
          </cell>
          <cell r="N187" t="str">
            <v>JARAGUA DO SUL</v>
          </cell>
          <cell r="O187" t="str">
            <v>SC</v>
          </cell>
          <cell r="Q187">
            <v>89251000</v>
          </cell>
          <cell r="R187">
            <v>170102220</v>
          </cell>
          <cell r="S187">
            <v>2</v>
          </cell>
          <cell r="T187">
            <v>2</v>
          </cell>
          <cell r="U187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87">
            <v>5.21</v>
          </cell>
          <cell r="W187">
            <v>0.1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5.21</v>
          </cell>
          <cell r="AC187">
            <v>0</v>
          </cell>
          <cell r="AD187">
            <v>0</v>
          </cell>
          <cell r="AE187" t="str">
            <v>Sim</v>
          </cell>
        </row>
        <row r="188">
          <cell r="F188">
            <v>122367</v>
          </cell>
          <cell r="G188">
            <v>237065</v>
          </cell>
          <cell r="H188">
            <v>4244807001283</v>
          </cell>
          <cell r="I188" t="str">
            <v>FR INDUSTRIA E COMERCIO DE MOVEIS S/A</v>
          </cell>
          <cell r="J188" t="str">
            <v>RODOVIA MG 260</v>
          </cell>
          <cell r="K188">
            <v>1258</v>
          </cell>
          <cell r="L188" t="str">
            <v>KM 36 LETR A E</v>
          </cell>
          <cell r="M188" t="str">
            <v>SOBRADO</v>
          </cell>
          <cell r="N188" t="str">
            <v>CLAUDIO</v>
          </cell>
          <cell r="O188" t="str">
            <v>MG</v>
          </cell>
          <cell r="Q188">
            <v>35530000</v>
          </cell>
          <cell r="R188">
            <v>170102220</v>
          </cell>
          <cell r="S188">
            <v>2</v>
          </cell>
          <cell r="T188">
            <v>2</v>
          </cell>
          <cell r="U188" t="str">
            <v>AntiFraude: Transações: 0 - Total: R$ 344,96 (Cobrança pelo mínimo mensal) (Período de apuração: 01/08/2026 à 31/08/2026) Vencimento: 26/09/2026 Brazilian Tax Information: Valor estimado dos tributos IBS e CBS, conforme disposto no art. 12 da Lei Complementar nº 214/2025 (Reforma Tributária sobre Consumo): R$3.52 (1%)</v>
          </cell>
          <cell r="V188">
            <v>352</v>
          </cell>
          <cell r="W188">
            <v>7.04</v>
          </cell>
          <cell r="X188">
            <v>0</v>
          </cell>
          <cell r="Y188">
            <v>2.29</v>
          </cell>
          <cell r="Z188">
            <v>10.56</v>
          </cell>
          <cell r="AA188">
            <v>3.52</v>
          </cell>
          <cell r="AB188">
            <v>352</v>
          </cell>
          <cell r="AC188">
            <v>0</v>
          </cell>
          <cell r="AD188">
            <v>0</v>
          </cell>
          <cell r="AE188" t="str">
            <v>Sim</v>
          </cell>
        </row>
        <row r="189">
          <cell r="F189">
            <v>122368</v>
          </cell>
          <cell r="G189">
            <v>237091</v>
          </cell>
          <cell r="H189">
            <v>36282644000167</v>
          </cell>
          <cell r="I189" t="str">
            <v>AB DUTRA COMERCIO DE MEDICAMENTOS LTDA</v>
          </cell>
          <cell r="J189" t="str">
            <v>RUA REPUBLICA ARGENTINA</v>
          </cell>
          <cell r="K189">
            <v>563</v>
          </cell>
          <cell r="L189" t="str">
            <v>SALA 02</v>
          </cell>
          <cell r="M189" t="str">
            <v>PONTA AGUDA</v>
          </cell>
          <cell r="N189" t="str">
            <v>BLUMENAU</v>
          </cell>
          <cell r="O189" t="str">
            <v>SC</v>
          </cell>
          <cell r="Q189">
            <v>89050100</v>
          </cell>
          <cell r="R189">
            <v>170102220</v>
          </cell>
          <cell r="S189">
            <v>2</v>
          </cell>
          <cell r="T189">
            <v>2</v>
          </cell>
          <cell r="U189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89">
            <v>5.17</v>
          </cell>
          <cell r="W189">
            <v>0.1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5.17</v>
          </cell>
          <cell r="AC189">
            <v>0</v>
          </cell>
          <cell r="AD189">
            <v>0</v>
          </cell>
          <cell r="AE189" t="str">
            <v>Sim</v>
          </cell>
        </row>
        <row r="190">
          <cell r="F190">
            <v>122369</v>
          </cell>
          <cell r="G190">
            <v>237083</v>
          </cell>
          <cell r="H190">
            <v>7218236000148</v>
          </cell>
          <cell r="I190" t="str">
            <v>DISTRIBUIDORA DE VEICULOS FREIRE LTDA</v>
          </cell>
          <cell r="J190" t="str">
            <v>AVENIDA CARLOS ARTENCIO</v>
          </cell>
          <cell r="K190">
            <v>300</v>
          </cell>
          <cell r="M190" t="str">
            <v>FRAGATA</v>
          </cell>
          <cell r="N190" t="str">
            <v>MARILIA</v>
          </cell>
          <cell r="O190" t="str">
            <v>SP</v>
          </cell>
          <cell r="Q190">
            <v>17519255</v>
          </cell>
          <cell r="R190">
            <v>170102220</v>
          </cell>
          <cell r="S190">
            <v>2</v>
          </cell>
          <cell r="T190">
            <v>2</v>
          </cell>
          <cell r="U190" t="str">
            <v>AntiFraude: Transações: 0 - Total: R$ 480,92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v>
          </cell>
          <cell r="V190">
            <v>490.73</v>
          </cell>
          <cell r="W190">
            <v>9.81</v>
          </cell>
          <cell r="X190">
            <v>0</v>
          </cell>
          <cell r="Y190">
            <v>3.19</v>
          </cell>
          <cell r="Z190">
            <v>14.72</v>
          </cell>
          <cell r="AA190">
            <v>4.91</v>
          </cell>
          <cell r="AB190">
            <v>490.73</v>
          </cell>
          <cell r="AC190">
            <v>0</v>
          </cell>
          <cell r="AD190">
            <v>0</v>
          </cell>
          <cell r="AE190" t="str">
            <v>Sim</v>
          </cell>
        </row>
        <row r="191">
          <cell r="F191">
            <v>122370</v>
          </cell>
          <cell r="G191">
            <v>237078</v>
          </cell>
          <cell r="H191">
            <v>12471470000546</v>
          </cell>
          <cell r="I191" t="str">
            <v>DROGARIA VITORIA LTDA</v>
          </cell>
          <cell r="J191" t="str">
            <v>BRENO CANSANCAO</v>
          </cell>
          <cell r="K191">
            <v>0</v>
          </cell>
          <cell r="M191" t="str">
            <v>JACINTINHO</v>
          </cell>
          <cell r="N191" t="str">
            <v>MACEIO</v>
          </cell>
          <cell r="O191" t="str">
            <v>AL</v>
          </cell>
          <cell r="Q191">
            <v>57041330</v>
          </cell>
          <cell r="R191">
            <v>170102220</v>
          </cell>
          <cell r="S191">
            <v>2</v>
          </cell>
          <cell r="T191">
            <v>2</v>
          </cell>
          <cell r="U191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191">
            <v>5.14</v>
          </cell>
          <cell r="W191">
            <v>0.1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5.14</v>
          </cell>
          <cell r="AC191">
            <v>0</v>
          </cell>
          <cell r="AD191">
            <v>0</v>
          </cell>
          <cell r="AE191" t="str">
            <v>Sim</v>
          </cell>
        </row>
        <row r="192">
          <cell r="F192">
            <v>122371</v>
          </cell>
          <cell r="G192">
            <v>237063</v>
          </cell>
          <cell r="H192">
            <v>6058877000110</v>
          </cell>
          <cell r="I192" t="str">
            <v>A. V. UCHOA DA SILVA LTDA</v>
          </cell>
          <cell r="J192" t="str">
            <v>RUA DEZ</v>
          </cell>
          <cell r="K192">
            <v>58</v>
          </cell>
          <cell r="L192" t="str">
            <v>QUADRA: 20</v>
          </cell>
          <cell r="M192" t="str">
            <v>COHATRAC II</v>
          </cell>
          <cell r="N192" t="str">
            <v>SAO LUIS</v>
          </cell>
          <cell r="O192" t="str">
            <v>MA</v>
          </cell>
          <cell r="Q192">
            <v>65053800</v>
          </cell>
          <cell r="R192">
            <v>170102220</v>
          </cell>
          <cell r="S192">
            <v>2</v>
          </cell>
          <cell r="T192">
            <v>2</v>
          </cell>
          <cell r="U192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92">
            <v>5.21</v>
          </cell>
          <cell r="W192">
            <v>0.1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5.21</v>
          </cell>
          <cell r="AC192">
            <v>0</v>
          </cell>
          <cell r="AD192">
            <v>0</v>
          </cell>
          <cell r="AE192" t="str">
            <v>Sim</v>
          </cell>
        </row>
        <row r="193">
          <cell r="F193">
            <v>122372</v>
          </cell>
          <cell r="G193">
            <v>237071</v>
          </cell>
          <cell r="H193">
            <v>60711443000112</v>
          </cell>
          <cell r="I193" t="str">
            <v>AKKAR MOTORS E NAUTICA LTDA</v>
          </cell>
          <cell r="J193" t="str">
            <v>AVENIDA OROSIMBO MAIA</v>
          </cell>
          <cell r="K193">
            <v>2030</v>
          </cell>
          <cell r="M193" t="str">
            <v>CAMBUI</v>
          </cell>
          <cell r="N193" t="str">
            <v>CAMPINAS</v>
          </cell>
          <cell r="O193" t="str">
            <v>SP</v>
          </cell>
          <cell r="Q193">
            <v>13024045</v>
          </cell>
          <cell r="R193">
            <v>170102220</v>
          </cell>
          <cell r="S193">
            <v>2</v>
          </cell>
          <cell r="T193">
            <v>2</v>
          </cell>
          <cell r="U193" t="str">
            <v>AntiFraude: Transações: 0 - Total: R$ 427,38 (Cobrança pelo mínimo mensal) (Período de apuração: 01/08/2026 à 31/08/2026) Vencimento: 26/09/2026 Brazilian Tax Information: Valor estimado dos tributos IBS e CBS, conforme disposto no art. 12 da Lei Complementar nº 214/2025 (Reforma Tributária sobre Consumo): R$4.36 (1%)</v>
          </cell>
          <cell r="V193">
            <v>436.1</v>
          </cell>
          <cell r="W193">
            <v>8.7200000000000006</v>
          </cell>
          <cell r="X193">
            <v>0</v>
          </cell>
          <cell r="Y193">
            <v>2.83</v>
          </cell>
          <cell r="Z193">
            <v>13.08</v>
          </cell>
          <cell r="AA193">
            <v>4.3600000000000003</v>
          </cell>
          <cell r="AB193">
            <v>436.1</v>
          </cell>
          <cell r="AC193">
            <v>0</v>
          </cell>
          <cell r="AD193">
            <v>0</v>
          </cell>
          <cell r="AE193" t="str">
            <v>Sim</v>
          </cell>
        </row>
        <row r="194">
          <cell r="F194">
            <v>122373</v>
          </cell>
          <cell r="G194">
            <v>237084</v>
          </cell>
          <cell r="H194">
            <v>4779194000126</v>
          </cell>
          <cell r="I194" t="str">
            <v>DTR MOTORSPORT COMERCIO DE EQUIPAMENTOS PARA AUTOMOBILISMO L</v>
          </cell>
          <cell r="J194" t="str">
            <v>AVENIDA PRIMEIRO DE MARCO</v>
          </cell>
          <cell r="K194">
            <v>295</v>
          </cell>
          <cell r="M194" t="str">
            <v>CENTRO</v>
          </cell>
          <cell r="N194" t="str">
            <v>NOVO HAMBURGO</v>
          </cell>
          <cell r="O194" t="str">
            <v>RS</v>
          </cell>
          <cell r="Q194">
            <v>93510033</v>
          </cell>
          <cell r="R194">
            <v>170102220</v>
          </cell>
          <cell r="S194">
            <v>2</v>
          </cell>
          <cell r="T194">
            <v>2</v>
          </cell>
          <cell r="U194" t="str">
            <v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v>
          </cell>
          <cell r="V194">
            <v>102.5</v>
          </cell>
          <cell r="W194">
            <v>2.0499999999999998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102.5</v>
          </cell>
          <cell r="AC194">
            <v>0</v>
          </cell>
          <cell r="AD194">
            <v>0</v>
          </cell>
          <cell r="AE194" t="str">
            <v>Sim</v>
          </cell>
        </row>
        <row r="195">
          <cell r="F195">
            <v>122374</v>
          </cell>
          <cell r="G195">
            <v>237072</v>
          </cell>
          <cell r="H195">
            <v>2207068000171</v>
          </cell>
          <cell r="I195" t="str">
            <v>DROGARIA PRINCIPAL DE VINHEDO LTDA</v>
          </cell>
          <cell r="J195" t="str">
            <v>AVENIDA DOS IMIGRANTES (JARDIM ITALIA)</v>
          </cell>
          <cell r="K195">
            <v>214</v>
          </cell>
          <cell r="M195" t="str">
            <v>SANTA ROSA</v>
          </cell>
          <cell r="N195" t="str">
            <v>VINHEDO</v>
          </cell>
          <cell r="O195" t="str">
            <v>SP</v>
          </cell>
          <cell r="Q195">
            <v>13289186</v>
          </cell>
          <cell r="R195">
            <v>170102220</v>
          </cell>
          <cell r="S195">
            <v>2</v>
          </cell>
          <cell r="T195">
            <v>2</v>
          </cell>
          <cell r="U195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95">
            <v>5.21</v>
          </cell>
          <cell r="W195">
            <v>0.1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5.21</v>
          </cell>
          <cell r="AC195">
            <v>0</v>
          </cell>
          <cell r="AD195">
            <v>0</v>
          </cell>
          <cell r="AE195" t="str">
            <v>Sim</v>
          </cell>
        </row>
        <row r="196">
          <cell r="F196">
            <v>122375</v>
          </cell>
          <cell r="G196">
            <v>237104</v>
          </cell>
          <cell r="H196">
            <v>7324378000190</v>
          </cell>
          <cell r="I196" t="str">
            <v>DUTRA COMERCIO FARMACEUTICO LTDA</v>
          </cell>
          <cell r="J196" t="str">
            <v>RUA MARCOS BATISTA</v>
          </cell>
          <cell r="K196">
            <v>572</v>
          </cell>
          <cell r="L196" t="str">
            <v>ESQUINA</v>
          </cell>
          <cell r="M196" t="str">
            <v>CENTRO</v>
          </cell>
          <cell r="N196" t="str">
            <v>SAO JOAQUIM</v>
          </cell>
          <cell r="O196" t="str">
            <v>SC</v>
          </cell>
          <cell r="Q196">
            <v>88600000</v>
          </cell>
          <cell r="R196">
            <v>170102220</v>
          </cell>
          <cell r="S196">
            <v>2</v>
          </cell>
          <cell r="T196">
            <v>2</v>
          </cell>
          <cell r="U196" t="str">
            <v>AntiFraude: Transações: 12 - Tarifa: R$ 0,5720 - Total: R$ 6,86 (Período de apuração: 01/08/2026 à 31/08/2026) Vencimento: 26/09/2026 Brazilian Tax Information: Valor estimado dos tributos IBS e CBS, conforme disposto no art. 12 da Lei Complementar nº 214/2025 (Reforma Tributária sobre Consumo): R$0.07 (1%)</v>
          </cell>
          <cell r="V196">
            <v>7</v>
          </cell>
          <cell r="W196">
            <v>0.14000000000000001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7</v>
          </cell>
          <cell r="AC196">
            <v>0</v>
          </cell>
          <cell r="AD196">
            <v>0</v>
          </cell>
          <cell r="AE196" t="str">
            <v>Sim</v>
          </cell>
        </row>
        <row r="197">
          <cell r="F197">
            <v>122376</v>
          </cell>
          <cell r="G197">
            <v>237089</v>
          </cell>
          <cell r="H197">
            <v>5154607000140</v>
          </cell>
          <cell r="I197" t="str">
            <v>DROGARIA SOUSA LTDA</v>
          </cell>
          <cell r="J197" t="str">
            <v>RUA EURIPEDES MARTINS</v>
          </cell>
          <cell r="K197">
            <v>948</v>
          </cell>
          <cell r="M197" t="str">
            <v>CENTRO</v>
          </cell>
          <cell r="N197" t="str">
            <v>VALENCA DO PIAUI</v>
          </cell>
          <cell r="O197" t="str">
            <v>PI</v>
          </cell>
          <cell r="Q197">
            <v>64300000</v>
          </cell>
          <cell r="R197">
            <v>170102220</v>
          </cell>
          <cell r="S197">
            <v>2</v>
          </cell>
          <cell r="T197">
            <v>2</v>
          </cell>
          <cell r="U197" t="str">
            <v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v>
          </cell>
          <cell r="V197">
            <v>10.44</v>
          </cell>
          <cell r="W197">
            <v>0.21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10.44</v>
          </cell>
          <cell r="AC197">
            <v>0</v>
          </cell>
          <cell r="AD197">
            <v>0</v>
          </cell>
          <cell r="AE197" t="str">
            <v>Sim</v>
          </cell>
        </row>
        <row r="198">
          <cell r="F198">
            <v>122377</v>
          </cell>
          <cell r="G198">
            <v>237067</v>
          </cell>
          <cell r="H198">
            <v>60325660000174</v>
          </cell>
          <cell r="I198" t="str">
            <v>AMZ COMERCIO DE JOIAS E ACESSORIOSLTDA</v>
          </cell>
          <cell r="J198" t="str">
            <v>RUA JOAQUIM FLORIANO</v>
          </cell>
          <cell r="K198">
            <v>820</v>
          </cell>
          <cell r="L198" t="str">
            <v>CONJ 43 E</v>
          </cell>
          <cell r="M198" t="str">
            <v>ITAIM BIBI</v>
          </cell>
          <cell r="N198" t="str">
            <v>SAO PAULO</v>
          </cell>
          <cell r="O198" t="str">
            <v>SP</v>
          </cell>
          <cell r="Q198">
            <v>4534003</v>
          </cell>
          <cell r="R198">
            <v>170102220</v>
          </cell>
          <cell r="S198">
            <v>2</v>
          </cell>
          <cell r="T198">
            <v>2</v>
          </cell>
          <cell r="U198" t="str">
            <v>AntiFraude: Transações: 0 - Total: R$ 101,13 (Cobrança pelo mínimo mensal) (Período de apuração: 01/08/2026 à 31/08/2026) Vencimento: 11/10/2026 Brazilian Tax Information: Valor estimado dos tributos IBS e CBS, conforme disposto no art. 12 da Lei Complementar nº 214/2025 (Reforma Tributária sobre Consumo): R$1.03 (1%)</v>
          </cell>
          <cell r="V198">
            <v>103.19</v>
          </cell>
          <cell r="W198">
            <v>2.06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103.19</v>
          </cell>
          <cell r="AC198">
            <v>0</v>
          </cell>
          <cell r="AD198">
            <v>0</v>
          </cell>
          <cell r="AE198" t="str">
            <v>Sim</v>
          </cell>
        </row>
        <row r="199">
          <cell r="F199">
            <v>122378</v>
          </cell>
          <cell r="G199">
            <v>237079</v>
          </cell>
          <cell r="H199">
            <v>35282298000154</v>
          </cell>
          <cell r="I199" t="str">
            <v>DROGARIAS MAXI POPULAR CANARIO LTDA</v>
          </cell>
          <cell r="J199" t="str">
            <v>AVENIDA FREI COIMBRA (LOT JD CRISTINA)</v>
          </cell>
          <cell r="K199" t="str">
            <v>SN</v>
          </cell>
          <cell r="M199" t="str">
            <v>CENTRO-SUL</v>
          </cell>
          <cell r="N199" t="str">
            <v>VARZEA GRANDE</v>
          </cell>
          <cell r="O199" t="str">
            <v>MT</v>
          </cell>
          <cell r="Q199">
            <v>78135685</v>
          </cell>
          <cell r="R199">
            <v>170102220</v>
          </cell>
          <cell r="S199">
            <v>2</v>
          </cell>
          <cell r="T199">
            <v>2</v>
          </cell>
          <cell r="U199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199">
            <v>5.21</v>
          </cell>
          <cell r="W199">
            <v>0.1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5.21</v>
          </cell>
          <cell r="AC199">
            <v>0</v>
          </cell>
          <cell r="AD199">
            <v>0</v>
          </cell>
          <cell r="AE199" t="str">
            <v>Sim</v>
          </cell>
        </row>
        <row r="200">
          <cell r="F200">
            <v>122379</v>
          </cell>
          <cell r="G200">
            <v>237087</v>
          </cell>
          <cell r="H200">
            <v>17280086000156</v>
          </cell>
          <cell r="I200" t="str">
            <v>DROGARIA MANGUE  &amp;  ARAUJO  LTDA</v>
          </cell>
          <cell r="J200" t="str">
            <v>RUA DOS IPES</v>
          </cell>
          <cell r="K200">
            <v>22</v>
          </cell>
          <cell r="M200" t="str">
            <v>JARDIM EUROPA</v>
          </cell>
          <cell r="N200" t="str">
            <v>MOGI MIRIM</v>
          </cell>
          <cell r="O200" t="str">
            <v>SP</v>
          </cell>
          <cell r="Q200">
            <v>13802445</v>
          </cell>
          <cell r="R200">
            <v>170102220</v>
          </cell>
          <cell r="S200">
            <v>2</v>
          </cell>
          <cell r="T200">
            <v>2</v>
          </cell>
          <cell r="U200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00">
            <v>5.21</v>
          </cell>
          <cell r="W200">
            <v>0.1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5.21</v>
          </cell>
          <cell r="AC200">
            <v>0</v>
          </cell>
          <cell r="AD200">
            <v>0</v>
          </cell>
          <cell r="AE200" t="str">
            <v>Sim</v>
          </cell>
        </row>
        <row r="201">
          <cell r="F201">
            <v>122380</v>
          </cell>
          <cell r="G201">
            <v>237088</v>
          </cell>
          <cell r="H201">
            <v>15196194000110</v>
          </cell>
          <cell r="I201" t="str">
            <v>CL ANJOS DROGARIA LTDA</v>
          </cell>
          <cell r="J201" t="str">
            <v>RUA JOSE AGOSTINHO</v>
          </cell>
          <cell r="K201">
            <v>867</v>
          </cell>
          <cell r="M201" t="str">
            <v>JARDIM SANTANA</v>
          </cell>
          <cell r="N201" t="str">
            <v>HORTOLANDIA</v>
          </cell>
          <cell r="O201" t="str">
            <v>SP</v>
          </cell>
          <cell r="Q201">
            <v>13184527</v>
          </cell>
          <cell r="R201">
            <v>170102220</v>
          </cell>
          <cell r="S201">
            <v>2</v>
          </cell>
          <cell r="T201">
            <v>2</v>
          </cell>
          <cell r="U201" t="str">
            <v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01">
            <v>5.26</v>
          </cell>
          <cell r="W201">
            <v>0.11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5.26</v>
          </cell>
          <cell r="AC201">
            <v>0</v>
          </cell>
          <cell r="AD201">
            <v>0</v>
          </cell>
          <cell r="AE201" t="str">
            <v>Sim</v>
          </cell>
        </row>
        <row r="202">
          <cell r="F202">
            <v>122381</v>
          </cell>
          <cell r="G202">
            <v>237064</v>
          </cell>
          <cell r="H202">
            <v>21909642000188</v>
          </cell>
          <cell r="I202" t="str">
            <v>FARMACIA MARTINS E ANDRADE LTDA</v>
          </cell>
          <cell r="J202" t="str">
            <v>RUA CORONEL HORTENCIO MARTINS DE MELO</v>
          </cell>
          <cell r="K202">
            <v>330</v>
          </cell>
          <cell r="L202" t="str">
            <v>SALA 3</v>
          </cell>
          <cell r="M202" t="str">
            <v>CENTRO</v>
          </cell>
          <cell r="N202" t="str">
            <v>RIO AZUL</v>
          </cell>
          <cell r="O202" t="str">
            <v>PR</v>
          </cell>
          <cell r="Q202">
            <v>84560000</v>
          </cell>
          <cell r="R202">
            <v>170102220</v>
          </cell>
          <cell r="S202">
            <v>2</v>
          </cell>
          <cell r="T202">
            <v>2</v>
          </cell>
          <cell r="U202" t="str">
            <v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02">
            <v>5.26</v>
          </cell>
          <cell r="W202">
            <v>0.11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5.26</v>
          </cell>
          <cell r="AC202">
            <v>0</v>
          </cell>
          <cell r="AD202">
            <v>0</v>
          </cell>
          <cell r="AE202" t="str">
            <v>Sim</v>
          </cell>
        </row>
        <row r="203">
          <cell r="F203">
            <v>122382</v>
          </cell>
          <cell r="G203">
            <v>237081</v>
          </cell>
          <cell r="H203">
            <v>12683843000119</v>
          </cell>
          <cell r="I203" t="str">
            <v>FARMACIA BOA VISTA LTDA</v>
          </cell>
          <cell r="J203" t="str">
            <v>RUA VALDECY TORRES</v>
          </cell>
          <cell r="K203">
            <v>97</v>
          </cell>
          <cell r="M203" t="str">
            <v>ALTO DA BOA VISTA</v>
          </cell>
          <cell r="N203" t="str">
            <v>BAYEUX</v>
          </cell>
          <cell r="O203" t="str">
            <v>PB</v>
          </cell>
          <cell r="Q203">
            <v>58308390</v>
          </cell>
          <cell r="R203">
            <v>170102220</v>
          </cell>
          <cell r="S203">
            <v>2</v>
          </cell>
          <cell r="T203">
            <v>2</v>
          </cell>
          <cell r="U203" t="str">
            <v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v>
          </cell>
          <cell r="V203">
            <v>10.44</v>
          </cell>
          <cell r="W203">
            <v>0.21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10.44</v>
          </cell>
          <cell r="AC203">
            <v>0</v>
          </cell>
          <cell r="AD203">
            <v>0</v>
          </cell>
          <cell r="AE203" t="str">
            <v>Sim</v>
          </cell>
        </row>
        <row r="204">
          <cell r="F204">
            <v>122383</v>
          </cell>
          <cell r="G204">
            <v>237076</v>
          </cell>
          <cell r="H204">
            <v>7173309000122</v>
          </cell>
          <cell r="I204" t="str">
            <v>BRAMEX COMERCIO E SERVICOS LTDA</v>
          </cell>
          <cell r="J204" t="str">
            <v>RUA DA QUITANDA</v>
          </cell>
          <cell r="K204">
            <v>86</v>
          </cell>
          <cell r="L204" t="str">
            <v>03 PAV SAL A 301</v>
          </cell>
          <cell r="M204" t="str">
            <v>CENTRO</v>
          </cell>
          <cell r="N204" t="str">
            <v>RIO DE JANEIRO</v>
          </cell>
          <cell r="O204" t="str">
            <v>RJ</v>
          </cell>
          <cell r="Q204">
            <v>20091902</v>
          </cell>
          <cell r="R204">
            <v>170102220</v>
          </cell>
          <cell r="S204">
            <v>2</v>
          </cell>
          <cell r="T204">
            <v>2</v>
          </cell>
          <cell r="U204" t="str">
            <v>AntiFraude: Transações: 13496 - Total: R$ 0,01 (Cobrança pelo mínimo mensal) Analista de Risco: R$ 7.590,00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204">
            <v>7744.91</v>
          </cell>
          <cell r="W204">
            <v>154.9</v>
          </cell>
          <cell r="X204">
            <v>116.17</v>
          </cell>
          <cell r="Y204">
            <v>50.34</v>
          </cell>
          <cell r="Z204">
            <v>232.35</v>
          </cell>
          <cell r="AA204">
            <v>77.45</v>
          </cell>
          <cell r="AB204">
            <v>7744.91</v>
          </cell>
          <cell r="AC204">
            <v>0</v>
          </cell>
          <cell r="AD204">
            <v>0</v>
          </cell>
          <cell r="AE204" t="str">
            <v>Sim</v>
          </cell>
        </row>
        <row r="205">
          <cell r="F205">
            <v>122384</v>
          </cell>
          <cell r="G205">
            <v>237086</v>
          </cell>
          <cell r="H205">
            <v>33482409000140</v>
          </cell>
          <cell r="I205" t="str">
            <v>B L INDUSTRIA DE MOVEIS LTDA</v>
          </cell>
          <cell r="J205" t="str">
            <v>RODOVIA JOAO PAULO REOLON</v>
          </cell>
          <cell r="K205">
            <v>5801</v>
          </cell>
          <cell r="L205" t="str">
            <v>BRCAO 02 S ALA 01</v>
          </cell>
          <cell r="M205" t="str">
            <v>RIO D'AREIA</v>
          </cell>
          <cell r="N205" t="str">
            <v>UNIAO DA VITORIA</v>
          </cell>
          <cell r="O205" t="str">
            <v>PR</v>
          </cell>
          <cell r="Q205">
            <v>84601000</v>
          </cell>
          <cell r="R205">
            <v>170102220</v>
          </cell>
          <cell r="S205">
            <v>2</v>
          </cell>
          <cell r="T205">
            <v>2</v>
          </cell>
          <cell r="U205" t="str">
            <v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v>
          </cell>
          <cell r="V205">
            <v>206.39</v>
          </cell>
          <cell r="W205">
            <v>4.13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206.39</v>
          </cell>
          <cell r="AC205">
            <v>0</v>
          </cell>
          <cell r="AD205">
            <v>0</v>
          </cell>
          <cell r="AE205" t="str">
            <v>Sim</v>
          </cell>
        </row>
        <row r="206">
          <cell r="F206">
            <v>122385</v>
          </cell>
          <cell r="G206">
            <v>237070</v>
          </cell>
          <cell r="H206">
            <v>49679355000148</v>
          </cell>
          <cell r="I206" t="str">
            <v>GLORIA COMERCIO DE MEDICAMENTOS LTDA</v>
          </cell>
          <cell r="J206" t="str">
            <v>RUA DA GLORIA</v>
          </cell>
          <cell r="K206">
            <v>613</v>
          </cell>
          <cell r="L206" t="str">
            <v>SALA 01</v>
          </cell>
          <cell r="M206" t="str">
            <v>GLORIA</v>
          </cell>
          <cell r="N206" t="str">
            <v>BLUMENAU</v>
          </cell>
          <cell r="O206" t="str">
            <v>SC</v>
          </cell>
          <cell r="Q206">
            <v>89025304</v>
          </cell>
          <cell r="R206">
            <v>170102220</v>
          </cell>
          <cell r="S206">
            <v>2</v>
          </cell>
          <cell r="T206">
            <v>2</v>
          </cell>
          <cell r="U206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06">
            <v>5.21</v>
          </cell>
          <cell r="W206">
            <v>0.1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5.21</v>
          </cell>
          <cell r="AC206">
            <v>0</v>
          </cell>
          <cell r="AD206">
            <v>0</v>
          </cell>
          <cell r="AE206" t="str">
            <v>Sim</v>
          </cell>
        </row>
        <row r="207">
          <cell r="F207">
            <v>122386</v>
          </cell>
          <cell r="G207">
            <v>237100</v>
          </cell>
          <cell r="H207">
            <v>54851459000128</v>
          </cell>
          <cell r="I207" t="str">
            <v>ASSOCIACAO DEFESA E APOIO AOS PACIENTES TRATAMENTO COM CANNA</v>
          </cell>
          <cell r="J207" t="str">
            <v>AVENIDA DOM LUIS</v>
          </cell>
          <cell r="K207">
            <v>300</v>
          </cell>
          <cell r="L207" t="str">
            <v>LJ256</v>
          </cell>
          <cell r="M207" t="str">
            <v>ALDEOTA</v>
          </cell>
          <cell r="N207" t="str">
            <v>FORTALEZA</v>
          </cell>
          <cell r="O207" t="str">
            <v>CE</v>
          </cell>
          <cell r="Q207">
            <v>60160196</v>
          </cell>
          <cell r="R207">
            <v>170102220</v>
          </cell>
          <cell r="S207">
            <v>2</v>
          </cell>
          <cell r="T207">
            <v>2</v>
          </cell>
          <cell r="U207" t="str">
            <v>AntiFraude: Transações: 0 - Total: R$ 201,25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v>
          </cell>
          <cell r="V207">
            <v>205.36</v>
          </cell>
          <cell r="W207">
            <v>4.1100000000000003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205.36</v>
          </cell>
          <cell r="AC207">
            <v>0</v>
          </cell>
          <cell r="AD207">
            <v>0</v>
          </cell>
          <cell r="AE207" t="str">
            <v>Sim</v>
          </cell>
        </row>
        <row r="208">
          <cell r="F208">
            <v>122387</v>
          </cell>
          <cell r="G208">
            <v>237096</v>
          </cell>
          <cell r="H208">
            <v>39987885000108</v>
          </cell>
          <cell r="I208" t="str">
            <v>DMC CONSULTORIA E GESTAO DE PROJETOS DE ENERGIA LTDA</v>
          </cell>
          <cell r="J208" t="str">
            <v>RUA SURUBIM</v>
          </cell>
          <cell r="K208">
            <v>550</v>
          </cell>
          <cell r="L208" t="str">
            <v>ANDAR 2</v>
          </cell>
          <cell r="M208" t="str">
            <v>CIDADE MONCOES</v>
          </cell>
          <cell r="N208" t="str">
            <v>SAO PAULO</v>
          </cell>
          <cell r="O208" t="str">
            <v>SP</v>
          </cell>
          <cell r="Q208">
            <v>4571050</v>
          </cell>
          <cell r="R208">
            <v>170102220</v>
          </cell>
          <cell r="S208">
            <v>2</v>
          </cell>
          <cell r="T208">
            <v>2</v>
          </cell>
          <cell r="U208" t="str">
            <v>AntiFraude: Transações: 0 - Total: R$ 354,25 (Cobrança pelo mínimo mensal) (Período de apuração: 01/08/2026 à 31/08/2026) Vencimento: 11/10/2026 Brazilian Tax Information: Valor estimado dos tributos IBS e CBS, conforme disposto no art. 12 da Lei Complementar nº 214/2025 (Reforma Tributária sobre Consumo): R$3.61 (1%)</v>
          </cell>
          <cell r="V208">
            <v>361.48</v>
          </cell>
          <cell r="W208">
            <v>7.23</v>
          </cell>
          <cell r="X208">
            <v>0</v>
          </cell>
          <cell r="Y208">
            <v>2.35</v>
          </cell>
          <cell r="Z208">
            <v>10.84</v>
          </cell>
          <cell r="AA208">
            <v>3.61</v>
          </cell>
          <cell r="AB208">
            <v>361.48</v>
          </cell>
          <cell r="AC208">
            <v>0</v>
          </cell>
          <cell r="AD208">
            <v>0</v>
          </cell>
          <cell r="AE208" t="str">
            <v>Sim</v>
          </cell>
        </row>
        <row r="209">
          <cell r="F209">
            <v>122388</v>
          </cell>
          <cell r="G209">
            <v>237077</v>
          </cell>
          <cell r="H209">
            <v>20558548000169</v>
          </cell>
          <cell r="I209" t="str">
            <v>FARMACIA SAO LUIZ LTDA</v>
          </cell>
          <cell r="J209" t="str">
            <v>RUA SAO PEDRO</v>
          </cell>
          <cell r="K209">
            <v>210</v>
          </cell>
          <cell r="L209" t="str">
            <v>SALA 01</v>
          </cell>
          <cell r="M209" t="str">
            <v>SAO LUIZ</v>
          </cell>
          <cell r="N209" t="str">
            <v>BRUSQUE</v>
          </cell>
          <cell r="O209" t="str">
            <v>SC</v>
          </cell>
          <cell r="Q209">
            <v>88351400</v>
          </cell>
          <cell r="R209">
            <v>170102220</v>
          </cell>
          <cell r="S209">
            <v>2</v>
          </cell>
          <cell r="T209">
            <v>2</v>
          </cell>
          <cell r="U209" t="str">
            <v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09">
            <v>5.29</v>
          </cell>
          <cell r="W209">
            <v>0.11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5.29</v>
          </cell>
          <cell r="AC209">
            <v>0</v>
          </cell>
          <cell r="AD209">
            <v>0</v>
          </cell>
          <cell r="AE209" t="str">
            <v>Sim</v>
          </cell>
        </row>
        <row r="210">
          <cell r="F210">
            <v>122389</v>
          </cell>
          <cell r="G210">
            <v>237094</v>
          </cell>
          <cell r="H210">
            <v>34362987000106</v>
          </cell>
          <cell r="I210" t="str">
            <v>DROGARIA POPULAR MD LTDA</v>
          </cell>
          <cell r="J210" t="str">
            <v>AVENIDA PARIGOT DE SOUZA</v>
          </cell>
          <cell r="K210">
            <v>2299</v>
          </cell>
          <cell r="L210" t="str">
            <v>QUADRA0031 LOTE 0200</v>
          </cell>
          <cell r="M210" t="str">
            <v>CENTRO</v>
          </cell>
          <cell r="N210" t="str">
            <v>TOLEDO</v>
          </cell>
          <cell r="O210" t="str">
            <v>PR</v>
          </cell>
          <cell r="Q210">
            <v>85904270</v>
          </cell>
          <cell r="R210">
            <v>170102220</v>
          </cell>
          <cell r="S210">
            <v>2</v>
          </cell>
          <cell r="T210">
            <v>2</v>
          </cell>
          <cell r="U210" t="str">
            <v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0">
            <v>5.29</v>
          </cell>
          <cell r="W210">
            <v>0.11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5.29</v>
          </cell>
          <cell r="AC210">
            <v>0</v>
          </cell>
          <cell r="AD210">
            <v>0</v>
          </cell>
          <cell r="AE210" t="str">
            <v>Sim</v>
          </cell>
        </row>
        <row r="211">
          <cell r="F211">
            <v>122390</v>
          </cell>
          <cell r="G211">
            <v>237102</v>
          </cell>
          <cell r="H211">
            <v>48561826000237</v>
          </cell>
          <cell r="I211" t="str">
            <v>BF DROGARIAS LTDA</v>
          </cell>
          <cell r="J211" t="str">
            <v>AVENIDA NOEL NUTELS</v>
          </cell>
          <cell r="K211">
            <v>94</v>
          </cell>
          <cell r="L211" t="str">
            <v>CONJUNTO C IDADE NOV</v>
          </cell>
          <cell r="M211" t="str">
            <v>CIDADE NOVA</v>
          </cell>
          <cell r="N211" t="str">
            <v>MANAUS</v>
          </cell>
          <cell r="O211" t="str">
            <v>AM</v>
          </cell>
          <cell r="Q211">
            <v>69095000</v>
          </cell>
          <cell r="R211">
            <v>170102220</v>
          </cell>
          <cell r="S211">
            <v>2</v>
          </cell>
          <cell r="T211">
            <v>2</v>
          </cell>
          <cell r="U211" t="str">
            <v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1">
            <v>5.29</v>
          </cell>
          <cell r="W211">
            <v>0.11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5.29</v>
          </cell>
          <cell r="AC211">
            <v>0</v>
          </cell>
          <cell r="AD211">
            <v>0</v>
          </cell>
          <cell r="AE211" t="str">
            <v>Sim</v>
          </cell>
        </row>
        <row r="212">
          <cell r="F212">
            <v>122391</v>
          </cell>
          <cell r="G212">
            <v>237098</v>
          </cell>
          <cell r="H212">
            <v>61231446000111</v>
          </cell>
          <cell r="I212" t="str">
            <v>61.231.446 PATRIK DA SILVA PERPETUA</v>
          </cell>
          <cell r="J212" t="str">
            <v>ESTRADA DO M'BOI MIRIM</v>
          </cell>
          <cell r="K212">
            <v>10557</v>
          </cell>
          <cell r="M212" t="str">
            <v>PARQUE DO LAGO</v>
          </cell>
          <cell r="N212" t="str">
            <v>SAO PAULO</v>
          </cell>
          <cell r="O212" t="str">
            <v>SP</v>
          </cell>
          <cell r="Q212">
            <v>4948030</v>
          </cell>
          <cell r="R212">
            <v>170102220</v>
          </cell>
          <cell r="S212">
            <v>2</v>
          </cell>
          <cell r="T212">
            <v>2</v>
          </cell>
          <cell r="U212" t="str">
            <v>AntiFraude: Transações: 0 - Total: R$ 193,80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v>
          </cell>
          <cell r="V212">
            <v>197.76</v>
          </cell>
          <cell r="W212">
            <v>3.96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197.76</v>
          </cell>
          <cell r="AC212">
            <v>0</v>
          </cell>
          <cell r="AD212">
            <v>0</v>
          </cell>
          <cell r="AE212" t="str">
            <v>Sim</v>
          </cell>
        </row>
        <row r="213">
          <cell r="F213">
            <v>122392</v>
          </cell>
          <cell r="G213">
            <v>237141</v>
          </cell>
          <cell r="H213">
            <v>13329758000110</v>
          </cell>
          <cell r="I213" t="str">
            <v>E2S IMPORTADORA E EXPORTADORA LTDA</v>
          </cell>
          <cell r="J213" t="str">
            <v>RODOVIA WASHINGTON LUIS</v>
          </cell>
          <cell r="K213" t="str">
            <v>S/N</v>
          </cell>
          <cell r="L213" t="str">
            <v>KM 449</v>
          </cell>
          <cell r="M213" t="str">
            <v>PERIMETRO URBANO</v>
          </cell>
          <cell r="N213" t="str">
            <v>MIRASSOL</v>
          </cell>
          <cell r="O213" t="str">
            <v>SP</v>
          </cell>
          <cell r="Q213">
            <v>15135759</v>
          </cell>
          <cell r="R213">
            <v>170102220</v>
          </cell>
          <cell r="S213">
            <v>2</v>
          </cell>
          <cell r="T213">
            <v>2</v>
          </cell>
          <cell r="U213" t="str">
            <v>AntiFraude: Transações: 15 -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v>
          </cell>
          <cell r="V213">
            <v>489.18</v>
          </cell>
          <cell r="W213">
            <v>9.7799999999999994</v>
          </cell>
          <cell r="X213">
            <v>0</v>
          </cell>
          <cell r="Y213">
            <v>3.18</v>
          </cell>
          <cell r="Z213">
            <v>14.68</v>
          </cell>
          <cell r="AA213">
            <v>4.8899999999999997</v>
          </cell>
          <cell r="AB213">
            <v>489.18</v>
          </cell>
          <cell r="AC213">
            <v>0</v>
          </cell>
          <cell r="AD213">
            <v>0</v>
          </cell>
          <cell r="AE213" t="str">
            <v>Sim</v>
          </cell>
        </row>
        <row r="214">
          <cell r="F214">
            <v>122393</v>
          </cell>
          <cell r="G214">
            <v>237110</v>
          </cell>
          <cell r="H214">
            <v>49587355000118</v>
          </cell>
          <cell r="I214" t="str">
            <v>EMPORIO RODRIGO PASCOTO GANSINHO LTDA</v>
          </cell>
          <cell r="J214" t="str">
            <v>PRAÇA VINTE E UM DE DEZEMBRO</v>
          </cell>
          <cell r="K214" t="str">
            <v>S/N</v>
          </cell>
          <cell r="L214" t="str">
            <v>BOX 18</v>
          </cell>
          <cell r="M214" t="str">
            <v>CENTRO</v>
          </cell>
          <cell r="N214" t="str">
            <v>OSASCO</v>
          </cell>
          <cell r="O214" t="str">
            <v>SP</v>
          </cell>
          <cell r="Q214">
            <v>6097080</v>
          </cell>
          <cell r="R214">
            <v>170102220</v>
          </cell>
          <cell r="S214">
            <v>2</v>
          </cell>
          <cell r="T214">
            <v>2</v>
          </cell>
          <cell r="U214" t="str">
            <v>AntiFraude: Transações: 0 - Total: R$ 222,36 (Cobrança pelo mínimo mensal) (Período de apuração: 01/08/2026 à 31/08/2026) Vencimento: 11/10/2026 Brazilian Tax Information: Valor estimado dos tributos IBS e CBS, conforme disposto no art. 12 da Lei Complementar nº 214/2025 (Reforma Tributária sobre Consumo): R$2.27 (1%)</v>
          </cell>
          <cell r="V214">
            <v>226.9</v>
          </cell>
          <cell r="W214">
            <v>4.54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226.9</v>
          </cell>
          <cell r="AC214">
            <v>0</v>
          </cell>
          <cell r="AD214">
            <v>0</v>
          </cell>
          <cell r="AE214" t="str">
            <v>Sim</v>
          </cell>
        </row>
        <row r="215">
          <cell r="F215">
            <v>122394</v>
          </cell>
          <cell r="G215">
            <v>237136</v>
          </cell>
          <cell r="H215">
            <v>28465919000170</v>
          </cell>
          <cell r="I215" t="str">
            <v>DROGARIAAPODI PRODUTOS FARMACEUTICOS LTDA</v>
          </cell>
          <cell r="J215" t="str">
            <v>RUA NOSSA SENHORA DA CONCEICAO</v>
          </cell>
          <cell r="K215">
            <v>158</v>
          </cell>
          <cell r="L215" t="str">
            <v>LOJA 01</v>
          </cell>
          <cell r="M215" t="str">
            <v>CENTRO</v>
          </cell>
          <cell r="N215" t="str">
            <v>APODI</v>
          </cell>
          <cell r="O215" t="str">
            <v>RN</v>
          </cell>
          <cell r="Q215">
            <v>59700000</v>
          </cell>
          <cell r="R215">
            <v>170102220</v>
          </cell>
          <cell r="S215">
            <v>2</v>
          </cell>
          <cell r="T215">
            <v>2</v>
          </cell>
          <cell r="U215" t="str">
            <v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5">
            <v>5.29</v>
          </cell>
          <cell r="W215">
            <v>0.11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5.29</v>
          </cell>
          <cell r="AC215">
            <v>0</v>
          </cell>
          <cell r="AD215">
            <v>0</v>
          </cell>
          <cell r="AE215" t="str">
            <v>Sim</v>
          </cell>
        </row>
        <row r="216">
          <cell r="F216">
            <v>122395</v>
          </cell>
          <cell r="G216">
            <v>237117</v>
          </cell>
          <cell r="H216">
            <v>673318000133</v>
          </cell>
          <cell r="I216" t="str">
            <v>FARMACIA SANTINE LTDA</v>
          </cell>
          <cell r="J216" t="str">
            <v>RUA CORONEL ARISTILIANO RAMOS</v>
          </cell>
          <cell r="K216">
            <v>182</v>
          </cell>
          <cell r="L216" t="str">
            <v>SALA 01</v>
          </cell>
          <cell r="M216" t="str">
            <v>CENTRO</v>
          </cell>
          <cell r="N216" t="str">
            <v>GASPAR</v>
          </cell>
          <cell r="O216" t="str">
            <v>SC</v>
          </cell>
          <cell r="Q216">
            <v>89110067</v>
          </cell>
          <cell r="R216">
            <v>170102220</v>
          </cell>
          <cell r="S216">
            <v>2</v>
          </cell>
          <cell r="T216">
            <v>2</v>
          </cell>
          <cell r="U216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6">
            <v>5.24</v>
          </cell>
          <cell r="W216">
            <v>0.1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5.24</v>
          </cell>
          <cell r="AC216">
            <v>0</v>
          </cell>
          <cell r="AD216">
            <v>0</v>
          </cell>
          <cell r="AE216" t="str">
            <v>Sim</v>
          </cell>
        </row>
        <row r="217">
          <cell r="F217">
            <v>122396</v>
          </cell>
          <cell r="G217">
            <v>237118</v>
          </cell>
          <cell r="H217">
            <v>83494427000110</v>
          </cell>
          <cell r="I217" t="str">
            <v>FARMED COMERCIO DE MEDICAMENTOS E PERFUMARIAS LTDA</v>
          </cell>
          <cell r="J217" t="str">
            <v>RODOVIA BR 470</v>
          </cell>
          <cell r="K217">
            <v>5290</v>
          </cell>
          <cell r="L217" t="str">
            <v>SALAS 05 E 06</v>
          </cell>
          <cell r="M217" t="str">
            <v>BADENFURT</v>
          </cell>
          <cell r="N217" t="str">
            <v>BLUMENAU</v>
          </cell>
          <cell r="O217" t="str">
            <v>SC</v>
          </cell>
          <cell r="Q217">
            <v>89070200</v>
          </cell>
          <cell r="R217">
            <v>170102220</v>
          </cell>
          <cell r="S217">
            <v>2</v>
          </cell>
          <cell r="T217">
            <v>2</v>
          </cell>
          <cell r="U217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7">
            <v>5.24</v>
          </cell>
          <cell r="W217">
            <v>0.1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5.24</v>
          </cell>
          <cell r="AC217">
            <v>0</v>
          </cell>
          <cell r="AD217">
            <v>0</v>
          </cell>
          <cell r="AE217" t="str">
            <v>Sim</v>
          </cell>
        </row>
        <row r="218">
          <cell r="F218">
            <v>122397</v>
          </cell>
          <cell r="G218">
            <v>237145</v>
          </cell>
          <cell r="H218">
            <v>49579198000107</v>
          </cell>
          <cell r="I218" t="str">
            <v>DROGARIA FAMILIA DE INHAUMA LTDA</v>
          </cell>
          <cell r="J218" t="str">
            <v>RUA ALVARO MIRANDA</v>
          </cell>
          <cell r="K218">
            <v>647</v>
          </cell>
          <cell r="M218" t="str">
            <v>PILARES</v>
          </cell>
          <cell r="N218" t="str">
            <v>RIO DE JANEIRO</v>
          </cell>
          <cell r="O218" t="str">
            <v>RJ</v>
          </cell>
          <cell r="Q218">
            <v>20760000</v>
          </cell>
          <cell r="R218">
            <v>170102220</v>
          </cell>
          <cell r="S218">
            <v>2</v>
          </cell>
          <cell r="T218">
            <v>2</v>
          </cell>
          <cell r="U218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8">
            <v>5.24</v>
          </cell>
          <cell r="W218">
            <v>0.1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5.24</v>
          </cell>
          <cell r="AC218">
            <v>0</v>
          </cell>
          <cell r="AD218">
            <v>0</v>
          </cell>
          <cell r="AE218" t="str">
            <v>Sim</v>
          </cell>
        </row>
        <row r="219">
          <cell r="F219">
            <v>122398</v>
          </cell>
          <cell r="G219">
            <v>237119</v>
          </cell>
          <cell r="H219">
            <v>54114128000105</v>
          </cell>
          <cell r="I219" t="str">
            <v>FARMABELA LTDA</v>
          </cell>
          <cell r="J219" t="str">
            <v>RUA PROGRESSO</v>
          </cell>
          <cell r="K219">
            <v>2156</v>
          </cell>
          <cell r="L219" t="str">
            <v>SALA 01 02 03</v>
          </cell>
          <cell r="M219" t="str">
            <v>PROGRESSO</v>
          </cell>
          <cell r="N219" t="str">
            <v>BLUMENAU</v>
          </cell>
          <cell r="O219" t="str">
            <v>SC</v>
          </cell>
          <cell r="Q219">
            <v>89026202</v>
          </cell>
          <cell r="R219">
            <v>170102220</v>
          </cell>
          <cell r="S219">
            <v>2</v>
          </cell>
          <cell r="T219">
            <v>2</v>
          </cell>
          <cell r="U219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19">
            <v>5.14</v>
          </cell>
          <cell r="W219">
            <v>0.1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5.14</v>
          </cell>
          <cell r="AC219">
            <v>0</v>
          </cell>
          <cell r="AD219">
            <v>0</v>
          </cell>
          <cell r="AE219" t="str">
            <v>Sim</v>
          </cell>
        </row>
        <row r="220">
          <cell r="F220">
            <v>122399</v>
          </cell>
          <cell r="G220">
            <v>237130</v>
          </cell>
          <cell r="H220">
            <v>16966629000120</v>
          </cell>
          <cell r="I220" t="str">
            <v>FARMACIA SALTO GRANDE LTDA</v>
          </cell>
          <cell r="J220" t="str">
            <v>RUA LEONEL THIESEN</v>
          </cell>
          <cell r="K220">
            <v>250</v>
          </cell>
          <cell r="L220" t="str">
            <v>SALA 01</v>
          </cell>
          <cell r="M220" t="str">
            <v>CENTRO</v>
          </cell>
          <cell r="N220" t="str">
            <v>ITUPORANGA</v>
          </cell>
          <cell r="O220" t="str">
            <v>SC</v>
          </cell>
          <cell r="Q220">
            <v>88400000</v>
          </cell>
          <cell r="R220">
            <v>170102220</v>
          </cell>
          <cell r="S220">
            <v>2</v>
          </cell>
          <cell r="T220">
            <v>2</v>
          </cell>
          <cell r="U220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0">
            <v>5.24</v>
          </cell>
          <cell r="W220">
            <v>0.1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5.24</v>
          </cell>
          <cell r="AC220">
            <v>0</v>
          </cell>
          <cell r="AD220">
            <v>0</v>
          </cell>
          <cell r="AE220" t="str">
            <v>Sim</v>
          </cell>
        </row>
        <row r="221">
          <cell r="F221">
            <v>122400</v>
          </cell>
          <cell r="G221">
            <v>237137</v>
          </cell>
          <cell r="H221">
            <v>30623981000194</v>
          </cell>
          <cell r="I221" t="str">
            <v>DORA FARMA COMERCIO DE PRODUTOS FARMACEUTICOS LTDA</v>
          </cell>
          <cell r="J221" t="str">
            <v>RUA GUILHERME POERNER</v>
          </cell>
          <cell r="K221">
            <v>1218</v>
          </cell>
          <cell r="L221" t="str">
            <v>SALA 03</v>
          </cell>
          <cell r="M221" t="str">
            <v>PASSO MANSO</v>
          </cell>
          <cell r="N221" t="str">
            <v>BLUMENAU</v>
          </cell>
          <cell r="O221" t="str">
            <v>SC</v>
          </cell>
          <cell r="Q221">
            <v>89032300</v>
          </cell>
          <cell r="R221">
            <v>170102220</v>
          </cell>
          <cell r="S221">
            <v>2</v>
          </cell>
          <cell r="T221">
            <v>2</v>
          </cell>
          <cell r="U221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1">
            <v>5.24</v>
          </cell>
          <cell r="W221">
            <v>0.1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5.24</v>
          </cell>
          <cell r="AC221">
            <v>0</v>
          </cell>
          <cell r="AD221">
            <v>0</v>
          </cell>
          <cell r="AE221" t="str">
            <v>Sim</v>
          </cell>
        </row>
        <row r="222">
          <cell r="F222">
            <v>122401</v>
          </cell>
          <cell r="G222">
            <v>237121</v>
          </cell>
          <cell r="H222">
            <v>55862551000156</v>
          </cell>
          <cell r="I222" t="str">
            <v>DROGARIA SANTA RITA DE OLIMPIA LTDA</v>
          </cell>
          <cell r="J222" t="str">
            <v>AVENIDA AURORA FORTI NEVES</v>
          </cell>
          <cell r="K222">
            <v>433</v>
          </cell>
          <cell r="M222" t="str">
            <v>PATRIMONIO DE SAO JOAO BATISTA</v>
          </cell>
          <cell r="N222" t="str">
            <v>OLIMPIA</v>
          </cell>
          <cell r="O222" t="str">
            <v>SP</v>
          </cell>
          <cell r="Q222">
            <v>15400057</v>
          </cell>
          <cell r="R222">
            <v>170102220</v>
          </cell>
          <cell r="S222">
            <v>2</v>
          </cell>
          <cell r="T222">
            <v>2</v>
          </cell>
          <cell r="U222" t="str">
            <v>AntiFraude: Transações: 116 - Tarifa: R$ 0,5712 - Total: R$ 66,26 (Período de apuração: 01/08/2026 à 31/08/2026) Vencimento: 26/09/2026 Brazilian Tax Information: Valor estimado dos tributos IBS e CBS, conforme disposto no art. 12 da Lei Complementar nº 214/2025 (Reforma Tributária sobre Consumo): R$0.68 (1%)</v>
          </cell>
          <cell r="V222">
            <v>67.61</v>
          </cell>
          <cell r="W222">
            <v>1.35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67.61</v>
          </cell>
          <cell r="AC222">
            <v>0</v>
          </cell>
          <cell r="AD222">
            <v>0</v>
          </cell>
          <cell r="AE222" t="str">
            <v>Sim</v>
          </cell>
        </row>
        <row r="223">
          <cell r="F223">
            <v>122402</v>
          </cell>
          <cell r="G223">
            <v>237135</v>
          </cell>
          <cell r="H223">
            <v>44921613000137</v>
          </cell>
          <cell r="I223" t="str">
            <v>AGV FARMA LTDA</v>
          </cell>
          <cell r="J223" t="str">
            <v>AVENIDA JOAO ANTONIO LEITAO</v>
          </cell>
          <cell r="K223">
            <v>4500</v>
          </cell>
          <cell r="M223" t="str">
            <v>PICARREIRA</v>
          </cell>
          <cell r="N223" t="str">
            <v>TERESINA</v>
          </cell>
          <cell r="O223" t="str">
            <v>PI</v>
          </cell>
          <cell r="Q223">
            <v>64055400</v>
          </cell>
          <cell r="R223">
            <v>170102220</v>
          </cell>
          <cell r="S223">
            <v>2</v>
          </cell>
          <cell r="T223">
            <v>2</v>
          </cell>
          <cell r="U223" t="str">
            <v>AntiFraude: Transações: 15 - Tarifa: R$ 0,5600 - Total: R$ 8,40 (Período de apuração: 01/08/2026 à 31/08/2026) Vencimento: 26/09/2026 Brazilian Tax Information: Valor estimado dos tributos IBS e CBS, conforme disposto no art. 12 da Lei Complementar nº 214/2025 (Reforma Tributária sobre Consumo): R$0.09 (1%)</v>
          </cell>
          <cell r="V223">
            <v>8.57</v>
          </cell>
          <cell r="W223">
            <v>0.17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8.57</v>
          </cell>
          <cell r="AC223">
            <v>0</v>
          </cell>
          <cell r="AD223">
            <v>0</v>
          </cell>
          <cell r="AE223" t="str">
            <v>Sim</v>
          </cell>
        </row>
        <row r="224">
          <cell r="F224">
            <v>122403</v>
          </cell>
          <cell r="G224">
            <v>237142</v>
          </cell>
          <cell r="H224">
            <v>18319406000105</v>
          </cell>
          <cell r="I224" t="str">
            <v>GOLDEN FARMA LTDA</v>
          </cell>
          <cell r="J224" t="str">
            <v>RUA GENERAL OSORIO</v>
          </cell>
          <cell r="K224">
            <v>2677</v>
          </cell>
          <cell r="L224" t="str">
            <v>SALA 01</v>
          </cell>
          <cell r="M224" t="str">
            <v>AGUA VERDE</v>
          </cell>
          <cell r="N224" t="str">
            <v>BLUMENAU</v>
          </cell>
          <cell r="O224" t="str">
            <v>SC</v>
          </cell>
          <cell r="Q224">
            <v>89041003</v>
          </cell>
          <cell r="R224">
            <v>170102220</v>
          </cell>
          <cell r="S224">
            <v>2</v>
          </cell>
          <cell r="T224">
            <v>2</v>
          </cell>
          <cell r="U224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4">
            <v>5.14</v>
          </cell>
          <cell r="W224">
            <v>0.1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5.14</v>
          </cell>
          <cell r="AC224">
            <v>0</v>
          </cell>
          <cell r="AD224">
            <v>0</v>
          </cell>
          <cell r="AE224" t="str">
            <v>Sim</v>
          </cell>
        </row>
        <row r="225">
          <cell r="F225">
            <v>122404</v>
          </cell>
          <cell r="G225">
            <v>237151</v>
          </cell>
          <cell r="H225">
            <v>79491650000137</v>
          </cell>
          <cell r="I225" t="str">
            <v>FARMACIA GRASIANE LTDA</v>
          </cell>
          <cell r="J225" t="str">
            <v>RUA MAJOR J A DE CAMPOS</v>
          </cell>
          <cell r="K225">
            <v>6028</v>
          </cell>
          <cell r="M225" t="str">
            <v>CENTRO</v>
          </cell>
          <cell r="N225" t="str">
            <v>SANTO AMARO DA IMPERATRIZ</v>
          </cell>
          <cell r="O225" t="str">
            <v>SC</v>
          </cell>
          <cell r="Q225">
            <v>88140000</v>
          </cell>
          <cell r="R225">
            <v>170102220</v>
          </cell>
          <cell r="S225">
            <v>2</v>
          </cell>
          <cell r="T225">
            <v>2</v>
          </cell>
          <cell r="U225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5">
            <v>5.14</v>
          </cell>
          <cell r="W225">
            <v>0.1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5.14</v>
          </cell>
          <cell r="AC225">
            <v>0</v>
          </cell>
          <cell r="AD225">
            <v>0</v>
          </cell>
          <cell r="AE225" t="str">
            <v>Sim</v>
          </cell>
        </row>
        <row r="226">
          <cell r="F226">
            <v>122405</v>
          </cell>
          <cell r="G226">
            <v>237138</v>
          </cell>
          <cell r="H226">
            <v>2486036000152</v>
          </cell>
          <cell r="I226" t="str">
            <v>DROGARIA DIMAS LTDA</v>
          </cell>
          <cell r="J226" t="str">
            <v>RUA JERONIMO SILVA</v>
          </cell>
          <cell r="K226">
            <v>27</v>
          </cell>
          <cell r="L226" t="str">
            <v>LOJA 01</v>
          </cell>
          <cell r="M226" t="str">
            <v>BEIJA FLOR</v>
          </cell>
          <cell r="N226" t="str">
            <v>NOVA SERRANA</v>
          </cell>
          <cell r="O226" t="str">
            <v>MG</v>
          </cell>
          <cell r="Q226">
            <v>35520140</v>
          </cell>
          <cell r="R226">
            <v>170102220</v>
          </cell>
          <cell r="S226">
            <v>2</v>
          </cell>
          <cell r="T226">
            <v>2</v>
          </cell>
          <cell r="U226" t="str">
            <v>AntiFraude: Transações: 11 - Tarifa: R$ 0,5750 - Total: R$ 6,33 (Período de apuração: 01/08/2026 à 31/08/2026) Vencimento: 26/09/2026 Brazilian Tax Information: Valor estimado dos tributos IBS e CBS, conforme disposto no art. 12 da Lei Complementar nº 214/2025 (Reforma Tributária sobre Consumo): R$0.06 (1%)</v>
          </cell>
          <cell r="V226">
            <v>6.46</v>
          </cell>
          <cell r="W226">
            <v>0.13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6.46</v>
          </cell>
          <cell r="AC226">
            <v>0</v>
          </cell>
          <cell r="AD226">
            <v>0</v>
          </cell>
          <cell r="AE226" t="str">
            <v>Sim</v>
          </cell>
        </row>
        <row r="227">
          <cell r="F227">
            <v>122406</v>
          </cell>
          <cell r="G227">
            <v>237143</v>
          </cell>
          <cell r="H227">
            <v>487239000138</v>
          </cell>
          <cell r="I227" t="str">
            <v>FREITAS ROSA SERVICOS FARMACEUTICOS LTDA</v>
          </cell>
          <cell r="J227" t="str">
            <v>AVENIDA SEVERINO SICCHIERI</v>
          </cell>
          <cell r="K227">
            <v>100</v>
          </cell>
          <cell r="L227" t="str">
            <v>SALA 01</v>
          </cell>
          <cell r="M227" t="str">
            <v>VILA PAULO AMATTE</v>
          </cell>
          <cell r="N227" t="str">
            <v>SEVERINIA</v>
          </cell>
          <cell r="O227" t="str">
            <v>SP</v>
          </cell>
          <cell r="Q227">
            <v>14735260</v>
          </cell>
          <cell r="R227">
            <v>170102220</v>
          </cell>
          <cell r="S227">
            <v>2</v>
          </cell>
          <cell r="T227">
            <v>2</v>
          </cell>
          <cell r="U22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7">
            <v>5.14</v>
          </cell>
          <cell r="W227">
            <v>0.1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5.14</v>
          </cell>
          <cell r="AC227">
            <v>0</v>
          </cell>
          <cell r="AD227">
            <v>0</v>
          </cell>
          <cell r="AE227" t="str">
            <v>Sim</v>
          </cell>
        </row>
        <row r="228">
          <cell r="F228">
            <v>122407</v>
          </cell>
          <cell r="G228">
            <v>237109</v>
          </cell>
          <cell r="H228">
            <v>44921613000307</v>
          </cell>
          <cell r="I228" t="str">
            <v>AGV FARMA LTDA</v>
          </cell>
          <cell r="J228" t="str">
            <v>AVENIDA MIGUEL ROSA</v>
          </cell>
          <cell r="K228">
            <v>5165</v>
          </cell>
          <cell r="M228" t="str">
            <v>N S DAS GRACAS</v>
          </cell>
          <cell r="N228" t="str">
            <v>TERESINA</v>
          </cell>
          <cell r="O228" t="str">
            <v>PI</v>
          </cell>
          <cell r="Q228">
            <v>64018550</v>
          </cell>
          <cell r="R228">
            <v>170102220</v>
          </cell>
          <cell r="S228">
            <v>2</v>
          </cell>
          <cell r="T228">
            <v>2</v>
          </cell>
          <cell r="U228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28">
            <v>5.14</v>
          </cell>
          <cell r="W228">
            <v>0.1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5.14</v>
          </cell>
          <cell r="AC228">
            <v>0</v>
          </cell>
          <cell r="AD228">
            <v>0</v>
          </cell>
          <cell r="AE228" t="str">
            <v>Sim</v>
          </cell>
        </row>
        <row r="229">
          <cell r="F229">
            <v>122408</v>
          </cell>
          <cell r="G229">
            <v>237108</v>
          </cell>
          <cell r="H229">
            <v>3951956000167</v>
          </cell>
          <cell r="I229" t="str">
            <v>CENTRAL DO CARNAVAL PRODUCOES ARTISTICAS LTDA</v>
          </cell>
          <cell r="J229" t="str">
            <v>AVENIDA TANCREDO NEVES</v>
          </cell>
          <cell r="K229">
            <v>148</v>
          </cell>
          <cell r="L229" t="str">
            <v>3 PISO ESC RITORIO 0</v>
          </cell>
          <cell r="M229" t="str">
            <v>CAMINHO DAS ARVORES</v>
          </cell>
          <cell r="N229" t="str">
            <v>SALVADOR</v>
          </cell>
          <cell r="O229" t="str">
            <v>BA</v>
          </cell>
          <cell r="Q229">
            <v>41820908</v>
          </cell>
          <cell r="R229">
            <v>170102220</v>
          </cell>
          <cell r="S229">
            <v>2</v>
          </cell>
          <cell r="T229">
            <v>2</v>
          </cell>
          <cell r="U229" t="str">
            <v>AntiFraude: Transações: 0 - Total: R$ 440,37 (Cobrança pelo mínimo mensal) (Período de apuração: 01/08/2026 à 31/08/2026) Vencimento: 26/09/2026 Brazilian Tax Information: Valor estimado dos tributos IBS e CBS, conforme disposto no art. 12 da Lei Complementar nº 214/2025 (Reforma Tributária sobre Consumo): R$4.49 (1%)</v>
          </cell>
          <cell r="V229">
            <v>449.36</v>
          </cell>
          <cell r="W229">
            <v>8.99</v>
          </cell>
          <cell r="X229">
            <v>0</v>
          </cell>
          <cell r="Y229">
            <v>2.92</v>
          </cell>
          <cell r="Z229">
            <v>13.48</v>
          </cell>
          <cell r="AA229">
            <v>4.49</v>
          </cell>
          <cell r="AB229">
            <v>449.36</v>
          </cell>
          <cell r="AC229">
            <v>0</v>
          </cell>
          <cell r="AD229">
            <v>0</v>
          </cell>
          <cell r="AE229" t="str">
            <v>Sim</v>
          </cell>
        </row>
        <row r="230">
          <cell r="F230">
            <v>122409</v>
          </cell>
          <cell r="G230">
            <v>237154</v>
          </cell>
          <cell r="H230">
            <v>50127881000184</v>
          </cell>
          <cell r="I230" t="str">
            <v>C. L. DA SILVEIRA LTDA</v>
          </cell>
          <cell r="J230" t="str">
            <v>RODOVIA RSC-453</v>
          </cell>
          <cell r="K230">
            <v>2780</v>
          </cell>
          <cell r="L230" t="str">
            <v>LOJA 104 P AVMTO01</v>
          </cell>
          <cell r="M230" t="str">
            <v>SANVITTO</v>
          </cell>
          <cell r="N230" t="str">
            <v>CAXIAS DO SUL</v>
          </cell>
          <cell r="O230" t="str">
            <v>RS</v>
          </cell>
          <cell r="Q230">
            <v>95110251</v>
          </cell>
          <cell r="R230">
            <v>170102220</v>
          </cell>
          <cell r="S230">
            <v>2</v>
          </cell>
          <cell r="T230">
            <v>2</v>
          </cell>
          <cell r="U230" t="str">
            <v>AntiFraude: Transações: 0 - Total: R$ 200,00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R$2.04 (1%)</v>
          </cell>
          <cell r="V230">
            <v>204.08</v>
          </cell>
          <cell r="W230">
            <v>4.08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204.08</v>
          </cell>
          <cell r="AC230">
            <v>0</v>
          </cell>
          <cell r="AD230">
            <v>0</v>
          </cell>
          <cell r="AE230" t="str">
            <v>Sim</v>
          </cell>
        </row>
        <row r="231">
          <cell r="F231">
            <v>122410</v>
          </cell>
          <cell r="G231">
            <v>237128</v>
          </cell>
          <cell r="H231">
            <v>2521077000809</v>
          </cell>
          <cell r="I231" t="str">
            <v>CK AMORIM COMERCIO DE ARTEFATOS DEMETAIS LTDA.</v>
          </cell>
          <cell r="J231" t="str">
            <v>RUA PAIS LEME</v>
          </cell>
          <cell r="K231">
            <v>524</v>
          </cell>
          <cell r="L231" t="str">
            <v>ANDAR 15 C ONJ 152</v>
          </cell>
          <cell r="M231" t="str">
            <v>PINHEIROS</v>
          </cell>
          <cell r="N231" t="str">
            <v>SAO PAULO</v>
          </cell>
          <cell r="O231" t="str">
            <v>SP</v>
          </cell>
          <cell r="Q231">
            <v>5424904</v>
          </cell>
          <cell r="R231">
            <v>170102220</v>
          </cell>
          <cell r="S231">
            <v>2</v>
          </cell>
          <cell r="T231">
            <v>2</v>
          </cell>
          <cell r="U231" t="str">
            <v>AntiFraude: Transações: 0 - Total: R$ 192,00 (Cobrança pelo mínimo mensal) Analista de Risco: R$ 4.100,00 (Período de apuração: 01/08/2026 à 31/08/2026) Vencimento: 26/09/2026 Brazilian Tax Information: Valor estimado dos tributos IBS e CBS, conforme disposto no art. 12 da Lei Complementar nº 214/2025 (Reforma Tributária sobre Consumo): R$1.96 (1%)</v>
          </cell>
          <cell r="V231">
            <v>4379.59</v>
          </cell>
          <cell r="W231">
            <v>87.59</v>
          </cell>
          <cell r="X231">
            <v>65.7</v>
          </cell>
          <cell r="Y231">
            <v>28.46</v>
          </cell>
          <cell r="Z231">
            <v>131.38999999999999</v>
          </cell>
          <cell r="AA231">
            <v>43.8</v>
          </cell>
          <cell r="AB231">
            <v>4379.59</v>
          </cell>
          <cell r="AC231">
            <v>0</v>
          </cell>
          <cell r="AD231">
            <v>0</v>
          </cell>
          <cell r="AE231" t="str">
            <v>Sim</v>
          </cell>
        </row>
        <row r="232">
          <cell r="F232">
            <v>122411</v>
          </cell>
          <cell r="G232">
            <v>237150</v>
          </cell>
          <cell r="H232">
            <v>20732558000179</v>
          </cell>
          <cell r="I232" t="str">
            <v>DROGARIA SAO FRANCISCO DE ITAUNA LTDA</v>
          </cell>
          <cell r="J232" t="str">
            <v>RUA SILVA JARDIM</v>
          </cell>
          <cell r="K232">
            <v>119</v>
          </cell>
          <cell r="M232" t="str">
            <v>CENTRO</v>
          </cell>
          <cell r="N232" t="str">
            <v>ITAUNA</v>
          </cell>
          <cell r="O232" t="str">
            <v>MG</v>
          </cell>
          <cell r="Q232">
            <v>35680062</v>
          </cell>
          <cell r="R232">
            <v>170102220</v>
          </cell>
          <cell r="S232">
            <v>2</v>
          </cell>
          <cell r="T232">
            <v>2</v>
          </cell>
          <cell r="U232" t="str">
            <v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32">
            <v>5.14</v>
          </cell>
          <cell r="W232">
            <v>0.1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5.14</v>
          </cell>
          <cell r="AC232">
            <v>0</v>
          </cell>
          <cell r="AD232">
            <v>0</v>
          </cell>
          <cell r="AE232" t="str">
            <v>Sim</v>
          </cell>
        </row>
        <row r="233">
          <cell r="F233">
            <v>122412</v>
          </cell>
          <cell r="G233">
            <v>237127</v>
          </cell>
          <cell r="H233">
            <v>7790184000180</v>
          </cell>
          <cell r="I233" t="str">
            <v>DROGARIA BLL LTDA</v>
          </cell>
          <cell r="J233" t="str">
            <v>PRAÇA DOUTOR AUGUSTO GONCALVES</v>
          </cell>
          <cell r="K233">
            <v>554</v>
          </cell>
          <cell r="M233" t="str">
            <v>CENTRO</v>
          </cell>
          <cell r="N233" t="str">
            <v>ITAUNA</v>
          </cell>
          <cell r="O233" t="str">
            <v>MG</v>
          </cell>
          <cell r="Q233">
            <v>35680054</v>
          </cell>
          <cell r="R233">
            <v>170102220</v>
          </cell>
          <cell r="S233">
            <v>2</v>
          </cell>
          <cell r="T233">
            <v>2</v>
          </cell>
          <cell r="U233" t="str">
            <v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33">
            <v>5.14</v>
          </cell>
          <cell r="W233">
            <v>0.1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5.14</v>
          </cell>
          <cell r="AC233">
            <v>0</v>
          </cell>
          <cell r="AD233">
            <v>0</v>
          </cell>
          <cell r="AE233" t="str">
            <v>Sim</v>
          </cell>
        </row>
        <row r="234">
          <cell r="F234">
            <v>122413</v>
          </cell>
          <cell r="G234">
            <v>237113</v>
          </cell>
          <cell r="H234">
            <v>27073828000126</v>
          </cell>
          <cell r="I234" t="str">
            <v>GLORIA MEDICAMENTOS LTDA</v>
          </cell>
          <cell r="J234" t="str">
            <v>AVENIDA RUI BARBOSA</v>
          </cell>
          <cell r="K234">
            <v>649</v>
          </cell>
          <cell r="M234" t="str">
            <v>CENTRO</v>
          </cell>
          <cell r="N234" t="str">
            <v>ASSIS</v>
          </cell>
          <cell r="O234" t="str">
            <v>SP</v>
          </cell>
          <cell r="Q234">
            <v>19800002</v>
          </cell>
          <cell r="R234">
            <v>170102220</v>
          </cell>
          <cell r="S234">
            <v>2</v>
          </cell>
          <cell r="T234">
            <v>2</v>
          </cell>
          <cell r="U234" t="str">
            <v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34">
            <v>5.14</v>
          </cell>
          <cell r="W234">
            <v>0.1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5.14</v>
          </cell>
          <cell r="AC234">
            <v>0</v>
          </cell>
          <cell r="AD234">
            <v>0</v>
          </cell>
          <cell r="AE234" t="str">
            <v>Sim</v>
          </cell>
        </row>
        <row r="235">
          <cell r="F235">
            <v>122414</v>
          </cell>
          <cell r="G235">
            <v>237123</v>
          </cell>
          <cell r="H235">
            <v>7739439000180</v>
          </cell>
          <cell r="I235" t="str">
            <v>BUENO EMPREENDIMENTOS FARMACEUTICOS LTDA</v>
          </cell>
          <cell r="J235" t="str">
            <v>AVENIDA CORONEL VIRGILIO TAVORA</v>
          </cell>
          <cell r="K235">
            <v>340</v>
          </cell>
          <cell r="M235" t="str">
            <v>CENTRO</v>
          </cell>
          <cell r="N235" t="str">
            <v>ITAITINGA</v>
          </cell>
          <cell r="O235" t="str">
            <v>CE</v>
          </cell>
          <cell r="Q235">
            <v>61880000</v>
          </cell>
          <cell r="R235">
            <v>170102220</v>
          </cell>
          <cell r="S235">
            <v>2</v>
          </cell>
          <cell r="T235">
            <v>2</v>
          </cell>
          <cell r="U235" t="str">
            <v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35">
            <v>5.14</v>
          </cell>
          <cell r="W235">
            <v>0.1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5.14</v>
          </cell>
          <cell r="AC235">
            <v>0</v>
          </cell>
          <cell r="AD235">
            <v>0</v>
          </cell>
          <cell r="AE235" t="str">
            <v>Sim</v>
          </cell>
        </row>
        <row r="236">
          <cell r="F236">
            <v>122415</v>
          </cell>
          <cell r="G236">
            <v>237129</v>
          </cell>
          <cell r="H236">
            <v>7141168000166</v>
          </cell>
          <cell r="I236" t="str">
            <v>ALFA  AGENCIA DE VIAGENS LTDA</v>
          </cell>
          <cell r="J236" t="str">
            <v>SETE DE SETEMBRO</v>
          </cell>
          <cell r="K236">
            <v>0</v>
          </cell>
          <cell r="M236" t="str">
            <v>BATEL</v>
          </cell>
          <cell r="N236" t="str">
            <v>CURITIBA</v>
          </cell>
          <cell r="O236" t="str">
            <v>PR</v>
          </cell>
          <cell r="Q236">
            <v>80240000</v>
          </cell>
          <cell r="R236">
            <v>170102220</v>
          </cell>
          <cell r="S236">
            <v>2</v>
          </cell>
          <cell r="T236">
            <v>2</v>
          </cell>
          <cell r="U236" t="str">
            <v>AntiFraude: Transações: 1 - Total: R$ 545,00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R$5.56 (1%)</v>
          </cell>
          <cell r="V236">
            <v>4636.7299999999996</v>
          </cell>
          <cell r="W236">
            <v>92.73</v>
          </cell>
          <cell r="X236">
            <v>69.55</v>
          </cell>
          <cell r="Y236">
            <v>30.13</v>
          </cell>
          <cell r="Z236">
            <v>139.1</v>
          </cell>
          <cell r="AA236">
            <v>46.37</v>
          </cell>
          <cell r="AB236">
            <v>4636.7299999999996</v>
          </cell>
          <cell r="AC236">
            <v>0</v>
          </cell>
          <cell r="AD236">
            <v>0</v>
          </cell>
          <cell r="AE236" t="str">
            <v>Sim</v>
          </cell>
        </row>
        <row r="237">
          <cell r="F237">
            <v>122416</v>
          </cell>
          <cell r="G237">
            <v>237140</v>
          </cell>
          <cell r="H237">
            <v>73846347000123</v>
          </cell>
          <cell r="I237" t="str">
            <v>DANIELA TOMBINI INDUSTRIA E COMERCICONFECCOES LTDA</v>
          </cell>
          <cell r="J237" t="str">
            <v>PROFESSORA LUIZA RAIZEL</v>
          </cell>
          <cell r="K237">
            <v>0</v>
          </cell>
          <cell r="M237" t="str">
            <v>BERGER</v>
          </cell>
          <cell r="N237" t="str">
            <v>CACADOR</v>
          </cell>
          <cell r="O237" t="str">
            <v>SC</v>
          </cell>
          <cell r="Q237">
            <v>89500311</v>
          </cell>
          <cell r="R237">
            <v>170102220</v>
          </cell>
          <cell r="S237">
            <v>2</v>
          </cell>
          <cell r="T237">
            <v>2</v>
          </cell>
          <cell r="U237" t="str">
            <v>AntiFraude: Transações: 439 - Total: R$ 1.400,00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R$14.29 (1%)</v>
          </cell>
          <cell r="V237">
            <v>1428.57</v>
          </cell>
          <cell r="W237">
            <v>28.57</v>
          </cell>
          <cell r="X237">
            <v>21.43</v>
          </cell>
          <cell r="Y237">
            <v>9.2899999999999991</v>
          </cell>
          <cell r="Z237">
            <v>42.86</v>
          </cell>
          <cell r="AA237">
            <v>14.29</v>
          </cell>
          <cell r="AB237">
            <v>1428.57</v>
          </cell>
          <cell r="AC237">
            <v>0</v>
          </cell>
          <cell r="AD237">
            <v>0</v>
          </cell>
          <cell r="AE237" t="str">
            <v>Sim</v>
          </cell>
        </row>
        <row r="238">
          <cell r="F238">
            <v>122417</v>
          </cell>
          <cell r="G238">
            <v>237133</v>
          </cell>
          <cell r="H238">
            <v>28525600000192</v>
          </cell>
          <cell r="I238" t="str">
            <v>DROGARIA MODENA S/A</v>
          </cell>
          <cell r="J238" t="str">
            <v>AVENIDA DUQUE DE CAXIAS</v>
          </cell>
          <cell r="K238">
            <v>662</v>
          </cell>
          <cell r="M238" t="str">
            <v>MARCO</v>
          </cell>
          <cell r="N238" t="str">
            <v>BELEM</v>
          </cell>
          <cell r="O238" t="str">
            <v>PA</v>
          </cell>
          <cell r="Q238">
            <v>66093026</v>
          </cell>
          <cell r="R238">
            <v>170102220</v>
          </cell>
          <cell r="S238">
            <v>2</v>
          </cell>
          <cell r="T238">
            <v>2</v>
          </cell>
          <cell r="U238" t="str">
            <v>AntiFraude: Transações: 55 - Tarifa: R$ 0,5600 - Total: R$ 30,80 (Período de apuração: 01/08/2026 à 31/08/2026) Vencimento: 26/09/2026 Brazilian Tax Information: Valor estimado dos tributos IBS e CBS, conforme disposto no art. 12 da Lei Complementar nº 214/2025 (Reforma Tributária sobre Consumo): R$0.31 (1%)</v>
          </cell>
          <cell r="V238">
            <v>31.43</v>
          </cell>
          <cell r="W238">
            <v>0.63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31.43</v>
          </cell>
          <cell r="AC238">
            <v>0</v>
          </cell>
          <cell r="AD238">
            <v>0</v>
          </cell>
          <cell r="AE238" t="str">
            <v>Sim</v>
          </cell>
        </row>
        <row r="239">
          <cell r="F239">
            <v>122418</v>
          </cell>
          <cell r="G239">
            <v>237126</v>
          </cell>
          <cell r="H239">
            <v>27361998000106</v>
          </cell>
          <cell r="I239" t="str">
            <v>COMERCIAL DE MEDICAMENTOS COMPLEXOPHARMA LTDA</v>
          </cell>
          <cell r="J239" t="str">
            <v>AVENIDA I</v>
          </cell>
          <cell r="K239">
            <v>237</v>
          </cell>
          <cell r="L239" t="str">
            <v>LOJA 01 E 02</v>
          </cell>
          <cell r="M239" t="str">
            <v>PARQUE DOM PEDRO</v>
          </cell>
          <cell r="N239" t="str">
            <v>ITAITINGA</v>
          </cell>
          <cell r="O239" t="str">
            <v>CE</v>
          </cell>
          <cell r="Q239">
            <v>61880000</v>
          </cell>
          <cell r="R239">
            <v>170102220</v>
          </cell>
          <cell r="S239">
            <v>2</v>
          </cell>
          <cell r="T239">
            <v>2</v>
          </cell>
          <cell r="U239" t="str">
            <v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v>
          </cell>
          <cell r="V239">
            <v>11.43</v>
          </cell>
          <cell r="W239">
            <v>0.23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11.43</v>
          </cell>
          <cell r="AC239">
            <v>0</v>
          </cell>
          <cell r="AD239">
            <v>0</v>
          </cell>
          <cell r="AE239" t="str">
            <v>Sim</v>
          </cell>
        </row>
        <row r="240">
          <cell r="F240">
            <v>122419</v>
          </cell>
          <cell r="G240">
            <v>237134</v>
          </cell>
          <cell r="H240">
            <v>15839321000151</v>
          </cell>
          <cell r="I240" t="str">
            <v>DROGARIA SUPER POPULAR HORTOLANDIAS.A</v>
          </cell>
          <cell r="J240" t="str">
            <v>AVENIDA 2</v>
          </cell>
          <cell r="K240">
            <v>165</v>
          </cell>
          <cell r="M240" t="str">
            <v>CENTRO</v>
          </cell>
          <cell r="N240" t="str">
            <v>RIO CLARO</v>
          </cell>
          <cell r="O240" t="str">
            <v>SP</v>
          </cell>
          <cell r="Q240">
            <v>13500410</v>
          </cell>
          <cell r="R240">
            <v>170102220</v>
          </cell>
          <cell r="S240">
            <v>2</v>
          </cell>
          <cell r="T240">
            <v>2</v>
          </cell>
          <cell r="U240" t="str">
            <v>AntiFraude: Transações: 13 - Tarifa: R$ 0,8100 - Total: R$ 10,53 (Período de apuração: 01/08/2026 à 31/08/2026) Vencimento: 26/09/2026 Brazilian Tax Information: Valor estimado dos tributos IBS e CBS, conforme disposto no art. 12 da Lei Complementar nº 214/2025 (Reforma Tributária sobre Consumo): R$0.11 (1%)</v>
          </cell>
          <cell r="V240">
            <v>10.74</v>
          </cell>
          <cell r="W240">
            <v>0.21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10.74</v>
          </cell>
          <cell r="AC240">
            <v>0</v>
          </cell>
          <cell r="AD240">
            <v>0</v>
          </cell>
          <cell r="AE240" t="str">
            <v>Sim</v>
          </cell>
        </row>
        <row r="241">
          <cell r="F241">
            <v>122420</v>
          </cell>
          <cell r="G241">
            <v>237188</v>
          </cell>
          <cell r="H241">
            <v>26828351000189</v>
          </cell>
          <cell r="I241" t="str">
            <v>GILSON FARMA LTDA</v>
          </cell>
          <cell r="J241" t="str">
            <v>RUA PADRE HENRIQUE</v>
          </cell>
          <cell r="K241">
            <v>239</v>
          </cell>
          <cell r="M241" t="str">
            <v>CENTRO</v>
          </cell>
          <cell r="N241" t="str">
            <v>JANUARIA</v>
          </cell>
          <cell r="O241" t="str">
            <v>MG</v>
          </cell>
          <cell r="Q241">
            <v>39480000</v>
          </cell>
          <cell r="R241">
            <v>170102220</v>
          </cell>
          <cell r="S241">
            <v>2</v>
          </cell>
          <cell r="T241">
            <v>2</v>
          </cell>
          <cell r="U241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1">
            <v>5.14</v>
          </cell>
          <cell r="W241">
            <v>0.1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5.14</v>
          </cell>
          <cell r="AC241">
            <v>0</v>
          </cell>
          <cell r="AD241">
            <v>0</v>
          </cell>
          <cell r="AE241" t="str">
            <v>Sim</v>
          </cell>
        </row>
        <row r="242">
          <cell r="F242">
            <v>122421</v>
          </cell>
          <cell r="G242">
            <v>237173</v>
          </cell>
          <cell r="H242">
            <v>8375459000181</v>
          </cell>
          <cell r="I242" t="str">
            <v>DROGARIA KRUSEMARK BRANDAO LTDA</v>
          </cell>
          <cell r="J242" t="str">
            <v>RUA BELO HORIZONTE</v>
          </cell>
          <cell r="K242">
            <v>781</v>
          </cell>
          <cell r="M242" t="str">
            <v>PERNAMBUCO</v>
          </cell>
          <cell r="N242" t="str">
            <v>BOCAIUVA</v>
          </cell>
          <cell r="O242" t="str">
            <v>MG</v>
          </cell>
          <cell r="Q242">
            <v>39390000</v>
          </cell>
          <cell r="R242">
            <v>170102220</v>
          </cell>
          <cell r="S242">
            <v>2</v>
          </cell>
          <cell r="T242">
            <v>2</v>
          </cell>
          <cell r="U242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2">
            <v>5.14</v>
          </cell>
          <cell r="W242">
            <v>0.1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5.14</v>
          </cell>
          <cell r="AC242">
            <v>0</v>
          </cell>
          <cell r="AD242">
            <v>0</v>
          </cell>
          <cell r="AE242" t="str">
            <v>Sim</v>
          </cell>
        </row>
        <row r="243">
          <cell r="F243">
            <v>122422</v>
          </cell>
          <cell r="G243">
            <v>237159</v>
          </cell>
          <cell r="H243">
            <v>26324270000141</v>
          </cell>
          <cell r="I243" t="str">
            <v>DROGARIA C. P. CORDEIROPOLIS LTDA</v>
          </cell>
          <cell r="J243" t="str">
            <v>RUA JOSE BONIFACIO</v>
          </cell>
          <cell r="K243">
            <v>408</v>
          </cell>
          <cell r="M243" t="str">
            <v>CENTRO</v>
          </cell>
          <cell r="N243" t="str">
            <v>CORDEIROPOLIS</v>
          </cell>
          <cell r="O243" t="str">
            <v>SP</v>
          </cell>
          <cell r="Q243">
            <v>13490015</v>
          </cell>
          <cell r="R243">
            <v>170102220</v>
          </cell>
          <cell r="S243">
            <v>2</v>
          </cell>
          <cell r="T243">
            <v>2</v>
          </cell>
          <cell r="U243" t="str">
            <v>AntiFraude: Transações: 14 - Tarifa: R$ 0,5600 - Total: R$ 7,84 (Período de apuração: 01/08/2026 à 31/08/2026) Vencimento: 26/09/2026 Brazilian Tax Information: Valor estimado dos tributos IBS e CBS, conforme disposto no art. 12 da Lei Complementar nº 214/2025 (Reforma Tributária sobre Consumo): R$0.08 (1%)</v>
          </cell>
          <cell r="V243">
            <v>8</v>
          </cell>
          <cell r="W243">
            <v>0.16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8</v>
          </cell>
          <cell r="AC243">
            <v>0</v>
          </cell>
          <cell r="AD243">
            <v>0</v>
          </cell>
          <cell r="AE243" t="str">
            <v>Sim</v>
          </cell>
        </row>
        <row r="244">
          <cell r="F244">
            <v>122423</v>
          </cell>
          <cell r="G244">
            <v>237178</v>
          </cell>
          <cell r="H244">
            <v>31009678000169</v>
          </cell>
          <cell r="I244" t="str">
            <v>GAYAH PRODUTOS NATURAIS LTDA</v>
          </cell>
          <cell r="J244" t="str">
            <v>OSCAR NIEMEYER</v>
          </cell>
          <cell r="K244">
            <v>0</v>
          </cell>
          <cell r="M244" t="str">
            <v>VILA DA SERRA</v>
          </cell>
          <cell r="N244" t="str">
            <v>NOVA LIMA</v>
          </cell>
          <cell r="O244" t="str">
            <v>MG</v>
          </cell>
          <cell r="Q244">
            <v>34006065</v>
          </cell>
          <cell r="R244">
            <v>170102220</v>
          </cell>
          <cell r="S244">
            <v>2</v>
          </cell>
          <cell r="T244">
            <v>2</v>
          </cell>
          <cell r="U244" t="str">
            <v>AntiFraude: Transações: 0 - Total: R$ 6.700,00 (Cobrança pelo mínimo mensal) (Período de apuração: 01/08/2026 à 31/08/2026) Vencimento: 19/09/2026 Brazilian Tax Information: Valor estimado dos tributos IBS e CBS, conforme disposto no art. 12 da Lei Complementar nº 214/2025 (Reforma Tributária sobre Consumo): R$68.37 (1%)</v>
          </cell>
          <cell r="V244">
            <v>6836.74</v>
          </cell>
          <cell r="W244">
            <v>136.72999999999999</v>
          </cell>
          <cell r="X244">
            <v>102.55</v>
          </cell>
          <cell r="Y244">
            <v>44.44</v>
          </cell>
          <cell r="Z244">
            <v>205.1</v>
          </cell>
          <cell r="AA244">
            <v>68.37</v>
          </cell>
          <cell r="AB244">
            <v>6836.74</v>
          </cell>
          <cell r="AC244">
            <v>0</v>
          </cell>
          <cell r="AD244">
            <v>0</v>
          </cell>
          <cell r="AE244" t="str">
            <v>Sim</v>
          </cell>
        </row>
        <row r="245">
          <cell r="F245">
            <v>122424</v>
          </cell>
          <cell r="G245">
            <v>237200</v>
          </cell>
          <cell r="H245">
            <v>51409548000120</v>
          </cell>
          <cell r="I245" t="str">
            <v>DROGAVAL LTDA</v>
          </cell>
          <cell r="J245" t="str">
            <v>RUA ESTUDANTE MARIO ROLAND</v>
          </cell>
          <cell r="K245">
            <v>330</v>
          </cell>
          <cell r="M245" t="str">
            <v>VILA PIZA</v>
          </cell>
          <cell r="N245" t="str">
            <v>LIMEIRA</v>
          </cell>
          <cell r="O245" t="str">
            <v>SP</v>
          </cell>
          <cell r="Q245">
            <v>13486164</v>
          </cell>
          <cell r="R245">
            <v>170102220</v>
          </cell>
          <cell r="S245">
            <v>2</v>
          </cell>
          <cell r="T245">
            <v>2</v>
          </cell>
          <cell r="U245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5">
            <v>5.14</v>
          </cell>
          <cell r="W245">
            <v>0.1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5.14</v>
          </cell>
          <cell r="AC245">
            <v>0</v>
          </cell>
          <cell r="AD245">
            <v>0</v>
          </cell>
          <cell r="AE245" t="str">
            <v>Sim</v>
          </cell>
        </row>
        <row r="246">
          <cell r="F246">
            <v>122425</v>
          </cell>
          <cell r="G246">
            <v>237186</v>
          </cell>
          <cell r="H246">
            <v>32804472000193</v>
          </cell>
          <cell r="I246" t="str">
            <v>DAGER COMERCIO ATACADISTA DE EMBALAGENS E ALIMENTOS LTDA</v>
          </cell>
          <cell r="J246" t="str">
            <v>RUA CHARLES DICKENS</v>
          </cell>
          <cell r="K246">
            <v>246</v>
          </cell>
          <cell r="L246" t="str">
            <v>LOT 44 LTM 11317 QDR</v>
          </cell>
          <cell r="M246" t="str">
            <v>CAMPO GRANDE</v>
          </cell>
          <cell r="N246" t="str">
            <v>RIO DE JANEIRO</v>
          </cell>
          <cell r="O246" t="str">
            <v>RJ</v>
          </cell>
          <cell r="Q246">
            <v>23085680</v>
          </cell>
          <cell r="R246">
            <v>170102220</v>
          </cell>
          <cell r="S246">
            <v>2</v>
          </cell>
          <cell r="T246">
            <v>2</v>
          </cell>
          <cell r="U246" t="str">
            <v>AntiFraude: Transações: 66 - Total: R$ 1.200,00 (Cobrança pelo mínimo mensal) Analista de Risco: R$ 4.199,00 (Período de apuração: 01/08/2026 à 31/08/2026) Vencimento: 26/09/2026 Brazilian Tax Information: Valor estimado dos tributos IBS e CBS, conforme disposto no art. 12 da Lei Complementar nº 214/2025 (Reforma Tributária sobre Consumo): R$12.24 (1%)</v>
          </cell>
          <cell r="V246">
            <v>5509.18</v>
          </cell>
          <cell r="W246">
            <v>110.18</v>
          </cell>
          <cell r="X246">
            <v>82.64</v>
          </cell>
          <cell r="Y246">
            <v>35.81</v>
          </cell>
          <cell r="Z246">
            <v>165.27</v>
          </cell>
          <cell r="AA246">
            <v>55.09</v>
          </cell>
          <cell r="AB246">
            <v>5509.18</v>
          </cell>
          <cell r="AC246">
            <v>0</v>
          </cell>
          <cell r="AD246">
            <v>0</v>
          </cell>
          <cell r="AE246" t="str">
            <v>Sim</v>
          </cell>
        </row>
        <row r="247">
          <cell r="F247">
            <v>122426</v>
          </cell>
          <cell r="G247">
            <v>237194</v>
          </cell>
          <cell r="H247">
            <v>9911985000181</v>
          </cell>
          <cell r="I247" t="str">
            <v>DROGARIA MOREIRA &amp; AMORIM LTDA</v>
          </cell>
          <cell r="J247" t="str">
            <v>RUA PEREIRA GUIMARAES</v>
          </cell>
          <cell r="K247">
            <v>370</v>
          </cell>
          <cell r="M247" t="str">
            <v>CENTRO</v>
          </cell>
          <cell r="N247" t="str">
            <v>VAZANTE</v>
          </cell>
          <cell r="O247" t="str">
            <v>MG</v>
          </cell>
          <cell r="Q247">
            <v>38780000</v>
          </cell>
          <cell r="R247">
            <v>170102220</v>
          </cell>
          <cell r="S247">
            <v>2</v>
          </cell>
          <cell r="T247">
            <v>2</v>
          </cell>
          <cell r="U24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7">
            <v>5.14</v>
          </cell>
          <cell r="W247">
            <v>0.1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5.14</v>
          </cell>
          <cell r="AC247">
            <v>0</v>
          </cell>
          <cell r="AD247">
            <v>0</v>
          </cell>
          <cell r="AE247" t="str">
            <v>Sim</v>
          </cell>
        </row>
        <row r="248">
          <cell r="F248">
            <v>122427</v>
          </cell>
          <cell r="G248">
            <v>237196</v>
          </cell>
          <cell r="H248">
            <v>8958855000131</v>
          </cell>
          <cell r="I248" t="str">
            <v>FARMAVIP PRINCESA DROGARIA LTDA.</v>
          </cell>
          <cell r="J248" t="str">
            <v>AVENIDA SANTA BARBARA</v>
          </cell>
          <cell r="K248">
            <v>1589</v>
          </cell>
          <cell r="M248" t="str">
            <v>VILA SANTA ROSALIA</v>
          </cell>
          <cell r="N248" t="str">
            <v>LIMEIRA</v>
          </cell>
          <cell r="O248" t="str">
            <v>SP</v>
          </cell>
          <cell r="Q248">
            <v>13480624</v>
          </cell>
          <cell r="R248">
            <v>170102220</v>
          </cell>
          <cell r="S248">
            <v>2</v>
          </cell>
          <cell r="T248">
            <v>2</v>
          </cell>
          <cell r="U248" t="str">
            <v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8">
            <v>5.14</v>
          </cell>
          <cell r="W248">
            <v>0.1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5.14</v>
          </cell>
          <cell r="AC248">
            <v>0</v>
          </cell>
          <cell r="AD248">
            <v>0</v>
          </cell>
          <cell r="AE248" t="str">
            <v>Sim</v>
          </cell>
        </row>
        <row r="249">
          <cell r="F249">
            <v>122428</v>
          </cell>
          <cell r="G249">
            <v>237184</v>
          </cell>
          <cell r="H249">
            <v>11747657000133</v>
          </cell>
          <cell r="I249" t="str">
            <v>FARMACIAS JRL LTDA</v>
          </cell>
          <cell r="J249" t="str">
            <v>AVENIDA XV DE NOVEMBRO</v>
          </cell>
          <cell r="K249">
            <v>3999</v>
          </cell>
          <cell r="L249" t="str">
            <v>SALA 01</v>
          </cell>
          <cell r="M249" t="str">
            <v>CENTRO</v>
          </cell>
          <cell r="N249" t="str">
            <v>CHOPINZINHO</v>
          </cell>
          <cell r="O249" t="str">
            <v>PR</v>
          </cell>
          <cell r="Q249">
            <v>85560000</v>
          </cell>
          <cell r="R249">
            <v>170102220</v>
          </cell>
          <cell r="S249">
            <v>2</v>
          </cell>
          <cell r="T249">
            <v>2</v>
          </cell>
          <cell r="U249" t="str">
            <v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49">
            <v>5.14</v>
          </cell>
          <cell r="W249">
            <v>0.1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5.14</v>
          </cell>
          <cell r="AC249">
            <v>0</v>
          </cell>
          <cell r="AD249">
            <v>0</v>
          </cell>
          <cell r="AE249" t="str">
            <v>Sim</v>
          </cell>
        </row>
        <row r="250">
          <cell r="F250">
            <v>122429</v>
          </cell>
          <cell r="G250">
            <v>237187</v>
          </cell>
          <cell r="H250">
            <v>9254774000113</v>
          </cell>
          <cell r="I250" t="str">
            <v>CIRULLI COMERCIO DE MEDICAMENTOS LTDA</v>
          </cell>
          <cell r="J250" t="str">
            <v>RUA DR. TRAJANO DE BARROS CAMARGO</v>
          </cell>
          <cell r="K250">
            <v>750</v>
          </cell>
          <cell r="M250" t="str">
            <v>CENTRO</v>
          </cell>
          <cell r="N250" t="str">
            <v>LIMEIRA</v>
          </cell>
          <cell r="O250" t="str">
            <v>SP</v>
          </cell>
          <cell r="Q250">
            <v>13480100</v>
          </cell>
          <cell r="R250">
            <v>170102220</v>
          </cell>
          <cell r="S250">
            <v>2</v>
          </cell>
          <cell r="T250">
            <v>2</v>
          </cell>
          <cell r="U250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0">
            <v>5.14</v>
          </cell>
          <cell r="W250">
            <v>0.1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5.14</v>
          </cell>
          <cell r="AC250">
            <v>0</v>
          </cell>
          <cell r="AD250">
            <v>0</v>
          </cell>
          <cell r="AE250" t="str">
            <v>Sim</v>
          </cell>
        </row>
        <row r="251">
          <cell r="F251">
            <v>122430</v>
          </cell>
          <cell r="G251">
            <v>237164</v>
          </cell>
          <cell r="H251">
            <v>48561826000407</v>
          </cell>
          <cell r="I251" t="str">
            <v>BF DROGARIAS LTDA</v>
          </cell>
          <cell r="J251" t="str">
            <v>AVENIDA TORQUATO TAPAJOS</v>
          </cell>
          <cell r="K251">
            <v>5050</v>
          </cell>
          <cell r="L251" t="str">
            <v>LOJA TQ L0 2.03</v>
          </cell>
          <cell r="M251" t="str">
            <v>FLORES</v>
          </cell>
          <cell r="N251" t="str">
            <v>MANAUS</v>
          </cell>
          <cell r="O251" t="str">
            <v>AM</v>
          </cell>
          <cell r="Q251">
            <v>69058830</v>
          </cell>
          <cell r="R251">
            <v>170102220</v>
          </cell>
          <cell r="S251">
            <v>2</v>
          </cell>
          <cell r="T251">
            <v>2</v>
          </cell>
          <cell r="U251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1">
            <v>5.14</v>
          </cell>
          <cell r="W251">
            <v>0.1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5.14</v>
          </cell>
          <cell r="AC251">
            <v>0</v>
          </cell>
          <cell r="AD251">
            <v>0</v>
          </cell>
          <cell r="AE251" t="str">
            <v>Sim</v>
          </cell>
        </row>
        <row r="252">
          <cell r="F252">
            <v>122431</v>
          </cell>
          <cell r="G252">
            <v>237199</v>
          </cell>
          <cell r="H252">
            <v>2850465000167</v>
          </cell>
          <cell r="I252" t="str">
            <v>A C P DE A GUILHERME</v>
          </cell>
          <cell r="J252" t="str">
            <v>AVENIDA FRANCISCO CABRAL</v>
          </cell>
          <cell r="K252">
            <v>17</v>
          </cell>
          <cell r="M252" t="str">
            <v>CENTRO</v>
          </cell>
          <cell r="N252" t="str">
            <v>SAO PEDRO</v>
          </cell>
          <cell r="O252" t="str">
            <v>RN</v>
          </cell>
          <cell r="Q252">
            <v>59480000</v>
          </cell>
          <cell r="R252">
            <v>170102220</v>
          </cell>
          <cell r="S252">
            <v>2</v>
          </cell>
          <cell r="T252">
            <v>2</v>
          </cell>
          <cell r="U252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2">
            <v>5.14</v>
          </cell>
          <cell r="W252">
            <v>0.1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5.14</v>
          </cell>
          <cell r="AC252">
            <v>0</v>
          </cell>
          <cell r="AD252">
            <v>0</v>
          </cell>
          <cell r="AE252" t="str">
            <v>Sim</v>
          </cell>
        </row>
        <row r="253">
          <cell r="F253">
            <v>122432</v>
          </cell>
          <cell r="G253">
            <v>237202</v>
          </cell>
          <cell r="H253">
            <v>31139606000136</v>
          </cell>
          <cell r="I253" t="str">
            <v>CINEGAGLIA DROGARIA &amp; PARTICIPACOES LTDA</v>
          </cell>
          <cell r="J253" t="str">
            <v>AVENIDA XV DE NOVEMBRO</v>
          </cell>
          <cell r="K253">
            <v>733</v>
          </cell>
          <cell r="L253">
            <v>739</v>
          </cell>
          <cell r="M253" t="str">
            <v>CENTRO</v>
          </cell>
          <cell r="N253" t="str">
            <v>BARIRI</v>
          </cell>
          <cell r="O253" t="str">
            <v>SP</v>
          </cell>
          <cell r="Q253">
            <v>17250000</v>
          </cell>
          <cell r="R253">
            <v>170102220</v>
          </cell>
          <cell r="S253">
            <v>2</v>
          </cell>
          <cell r="T253">
            <v>2</v>
          </cell>
          <cell r="U253" t="str">
            <v>AntiFraude: Transações: 76 - Tarifa: R$ 0,5600 - Total: R$ 42,56 (Período de apuração: 01/08/2026 à 31/08/2026) Vencimento: 26/09/2026 Brazilian Tax Information: Valor estimado dos tributos IBS e CBS, conforme disposto no art. 12 da Lei Complementar nº 214/2025 (Reforma Tributária sobre Consumo): R$0.43 (1%)</v>
          </cell>
          <cell r="V253">
            <v>43.43</v>
          </cell>
          <cell r="W253">
            <v>0.87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43.43</v>
          </cell>
          <cell r="AC253">
            <v>0</v>
          </cell>
          <cell r="AD253">
            <v>0</v>
          </cell>
          <cell r="AE253" t="str">
            <v>Sim</v>
          </cell>
        </row>
        <row r="254">
          <cell r="F254">
            <v>122433</v>
          </cell>
          <cell r="G254">
            <v>237201</v>
          </cell>
          <cell r="H254">
            <v>67729178000572</v>
          </cell>
          <cell r="I254" t="str">
            <v>COMERCIAL CIRURGICA RIOCLARENSE LTDA</v>
          </cell>
          <cell r="J254" t="str">
            <v>AVENIDA JOANNA RODRIGUES JONDRAL</v>
          </cell>
          <cell r="K254">
            <v>250</v>
          </cell>
          <cell r="L254" t="str">
            <v>BLOCO 01 G ALPAO04</v>
          </cell>
          <cell r="M254" t="str">
            <v>CILO 2</v>
          </cell>
          <cell r="N254" t="str">
            <v>LONDRINA</v>
          </cell>
          <cell r="O254" t="str">
            <v>PR</v>
          </cell>
          <cell r="Q254">
            <v>86067050</v>
          </cell>
          <cell r="R254">
            <v>170102220</v>
          </cell>
          <cell r="S254">
            <v>2</v>
          </cell>
          <cell r="T254">
            <v>2</v>
          </cell>
          <cell r="U254" t="str">
            <v>AntiFraude: Transações: 484 - Total: R$ 760,00 (Cobrança pelo mínimo mensal) Analista de Risco: R$ 3.999,99 (Período de apuração: 01/08/2026 à 31/08/2026) Vencimento: 26/09/2026 Brazilian Tax Information: Valor estimado dos tributos IBS e CBS, conforme disposto no art. 12 da Lei Complementar nº 214/2025 (Reforma Tributária sobre Consumo): R$7.76 (1%)</v>
          </cell>
          <cell r="V254">
            <v>4857.13</v>
          </cell>
          <cell r="W254">
            <v>97.14</v>
          </cell>
          <cell r="X254">
            <v>72.849999999999994</v>
          </cell>
          <cell r="Y254">
            <v>31.57</v>
          </cell>
          <cell r="Z254">
            <v>145.72</v>
          </cell>
          <cell r="AA254">
            <v>48.58</v>
          </cell>
          <cell r="AB254">
            <v>4857.13</v>
          </cell>
          <cell r="AC254">
            <v>0</v>
          </cell>
          <cell r="AD254">
            <v>0</v>
          </cell>
          <cell r="AE254" t="str">
            <v>Sim</v>
          </cell>
        </row>
        <row r="255">
          <cell r="F255">
            <v>122434</v>
          </cell>
          <cell r="G255">
            <v>237198</v>
          </cell>
          <cell r="H255">
            <v>73410326005553</v>
          </cell>
          <cell r="I255" t="str">
            <v>CERVEJARIA PETROPOLIS S/A - EM RECUPERACAO JUDICIAL</v>
          </cell>
          <cell r="J255" t="str">
            <v>ESTRADA MUNICIPAL BATISTA FAVORETTI</v>
          </cell>
          <cell r="K255">
            <v>350</v>
          </cell>
          <cell r="L255" t="str">
            <v>TERREOALA TNT</v>
          </cell>
          <cell r="M255" t="str">
            <v>RESIDENCIAL AGUA BRANCA</v>
          </cell>
          <cell r="N255" t="str">
            <v>BOITUVA</v>
          </cell>
          <cell r="O255" t="str">
            <v>SP</v>
          </cell>
          <cell r="Q255">
            <v>18558200</v>
          </cell>
          <cell r="R255">
            <v>170102220</v>
          </cell>
          <cell r="S255">
            <v>2</v>
          </cell>
          <cell r="T255">
            <v>2</v>
          </cell>
          <cell r="U255" t="str">
            <v>AntiFraude: Transações: 0 - Total: R$ 4.000,00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v>
          </cell>
          <cell r="V255">
            <v>4081.63</v>
          </cell>
          <cell r="W255">
            <v>81.63</v>
          </cell>
          <cell r="X255">
            <v>61.22</v>
          </cell>
          <cell r="Y255">
            <v>26.53</v>
          </cell>
          <cell r="Z255">
            <v>122.45</v>
          </cell>
          <cell r="AA255">
            <v>40.82</v>
          </cell>
          <cell r="AB255">
            <v>4081.63</v>
          </cell>
          <cell r="AC255">
            <v>0</v>
          </cell>
          <cell r="AD255">
            <v>0</v>
          </cell>
          <cell r="AE255" t="str">
            <v>Sim</v>
          </cell>
        </row>
        <row r="256">
          <cell r="F256">
            <v>122435</v>
          </cell>
          <cell r="G256">
            <v>237189</v>
          </cell>
          <cell r="H256">
            <v>3222144000180</v>
          </cell>
          <cell r="I256" t="str">
            <v>FARMACIA FARMA2000 LTDA</v>
          </cell>
          <cell r="J256" t="str">
            <v>AVENIDA COUTO MAGALHAES</v>
          </cell>
          <cell r="K256">
            <v>1888</v>
          </cell>
          <cell r="M256" t="str">
            <v>CENTRO</v>
          </cell>
          <cell r="N256" t="str">
            <v>VARZEA GRANDE</v>
          </cell>
          <cell r="O256" t="str">
            <v>MT</v>
          </cell>
          <cell r="Q256">
            <v>78110400</v>
          </cell>
          <cell r="R256">
            <v>170102220</v>
          </cell>
          <cell r="S256">
            <v>2</v>
          </cell>
          <cell r="T256">
            <v>2</v>
          </cell>
          <cell r="U256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6">
            <v>5.14</v>
          </cell>
          <cell r="W256">
            <v>0.1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5.14</v>
          </cell>
          <cell r="AC256">
            <v>0</v>
          </cell>
          <cell r="AD256">
            <v>0</v>
          </cell>
          <cell r="AE256" t="str">
            <v>Sim</v>
          </cell>
        </row>
        <row r="257">
          <cell r="F257">
            <v>122436</v>
          </cell>
          <cell r="G257">
            <v>237158</v>
          </cell>
          <cell r="H257">
            <v>53889242000144</v>
          </cell>
          <cell r="I257" t="str">
            <v>DROGARIA DROGAPLIS LTDA</v>
          </cell>
          <cell r="J257" t="str">
            <v>AVENIDA LUIZ OSORIO</v>
          </cell>
          <cell r="K257">
            <v>691</v>
          </cell>
          <cell r="M257" t="str">
            <v>CENTRO</v>
          </cell>
          <cell r="N257" t="str">
            <v>PENAPOLIS</v>
          </cell>
          <cell r="O257" t="str">
            <v>SP</v>
          </cell>
          <cell r="Q257">
            <v>16300013</v>
          </cell>
          <cell r="R257">
            <v>170102220</v>
          </cell>
          <cell r="S257">
            <v>2</v>
          </cell>
          <cell r="T257">
            <v>2</v>
          </cell>
          <cell r="U25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7">
            <v>5.14</v>
          </cell>
          <cell r="W257">
            <v>0.1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5.14</v>
          </cell>
          <cell r="AC257">
            <v>0</v>
          </cell>
          <cell r="AD257">
            <v>0</v>
          </cell>
          <cell r="AE257" t="str">
            <v>Sim</v>
          </cell>
        </row>
        <row r="258">
          <cell r="F258">
            <v>122437</v>
          </cell>
          <cell r="G258">
            <v>237176</v>
          </cell>
          <cell r="H258">
            <v>7657213000130</v>
          </cell>
          <cell r="I258" t="str">
            <v>FARMACIA DUDA &amp; GABI LTDA</v>
          </cell>
          <cell r="J258" t="str">
            <v>PRACA CONSELHEIRO ALMEIDA COUTO</v>
          </cell>
          <cell r="K258">
            <v>632</v>
          </cell>
          <cell r="L258" t="str">
            <v>CASA TERRE O</v>
          </cell>
          <cell r="M258" t="str">
            <v>NAZARE</v>
          </cell>
          <cell r="N258" t="str">
            <v>SALVADOR</v>
          </cell>
          <cell r="O258" t="str">
            <v>BA</v>
          </cell>
          <cell r="Q258">
            <v>40050405</v>
          </cell>
          <cell r="R258">
            <v>170102220</v>
          </cell>
          <cell r="S258">
            <v>2</v>
          </cell>
          <cell r="T258">
            <v>2</v>
          </cell>
          <cell r="U258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8">
            <v>5.14</v>
          </cell>
          <cell r="W258">
            <v>0.1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5.14</v>
          </cell>
          <cell r="AC258">
            <v>0</v>
          </cell>
          <cell r="AD258">
            <v>0</v>
          </cell>
          <cell r="AE258" t="str">
            <v>Sim</v>
          </cell>
        </row>
        <row r="259">
          <cell r="F259">
            <v>122438</v>
          </cell>
          <cell r="G259">
            <v>237161</v>
          </cell>
          <cell r="H259">
            <v>15629579001014</v>
          </cell>
          <cell r="I259" t="str">
            <v>DROGARIA SILVA ROCHA LTDA</v>
          </cell>
          <cell r="J259" t="str">
            <v>RUA SOROR ANGELICA</v>
          </cell>
          <cell r="K259">
            <v>52</v>
          </cell>
          <cell r="M259" t="str">
            <v>CENTRO</v>
          </cell>
          <cell r="N259" t="str">
            <v>ALAGOINHAS</v>
          </cell>
          <cell r="O259" t="str">
            <v>BA</v>
          </cell>
          <cell r="Q259">
            <v>48010070</v>
          </cell>
          <cell r="R259">
            <v>170102220</v>
          </cell>
          <cell r="S259">
            <v>2</v>
          </cell>
          <cell r="T259">
            <v>2</v>
          </cell>
          <cell r="U259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59">
            <v>5.14</v>
          </cell>
          <cell r="W259">
            <v>0.1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5.14</v>
          </cell>
          <cell r="AC259">
            <v>0</v>
          </cell>
          <cell r="AD259">
            <v>0</v>
          </cell>
          <cell r="AE259" t="str">
            <v>Sim</v>
          </cell>
        </row>
        <row r="260">
          <cell r="F260">
            <v>122439</v>
          </cell>
          <cell r="G260">
            <v>237192</v>
          </cell>
          <cell r="H260">
            <v>15916662000183</v>
          </cell>
          <cell r="I260" t="str">
            <v>F DE BRITO MOREIRA FARMACIA LTDA</v>
          </cell>
          <cell r="J260" t="str">
            <v>RUA DOM ARMANDO CIRIO</v>
          </cell>
          <cell r="K260">
            <v>151</v>
          </cell>
          <cell r="M260" t="str">
            <v>JARDIM CONCORDIA</v>
          </cell>
          <cell r="N260" t="str">
            <v>TOLEDO</v>
          </cell>
          <cell r="O260" t="str">
            <v>PR</v>
          </cell>
          <cell r="Q260">
            <v>85906450</v>
          </cell>
          <cell r="R260">
            <v>170102220</v>
          </cell>
          <cell r="S260">
            <v>2</v>
          </cell>
          <cell r="T260">
            <v>2</v>
          </cell>
          <cell r="U260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60">
            <v>5.14</v>
          </cell>
          <cell r="W260">
            <v>0.1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5.14</v>
          </cell>
          <cell r="AC260">
            <v>0</v>
          </cell>
          <cell r="AD260">
            <v>0</v>
          </cell>
          <cell r="AE260" t="str">
            <v>Sim</v>
          </cell>
        </row>
        <row r="261">
          <cell r="F261">
            <v>122440</v>
          </cell>
          <cell r="G261">
            <v>237185</v>
          </cell>
          <cell r="H261">
            <v>27520044000107</v>
          </cell>
          <cell r="I261" t="str">
            <v>FARMACIA BARBIERO LTDA</v>
          </cell>
          <cell r="J261" t="str">
            <v>RUA RUI BARBOSA</v>
          </cell>
          <cell r="K261">
            <v>1123</v>
          </cell>
          <cell r="M261" t="str">
            <v>CENTRO</v>
          </cell>
          <cell r="N261" t="str">
            <v>TOLEDO</v>
          </cell>
          <cell r="O261" t="str">
            <v>PR</v>
          </cell>
          <cell r="Q261">
            <v>85900040</v>
          </cell>
          <cell r="R261">
            <v>170102220</v>
          </cell>
          <cell r="S261">
            <v>2</v>
          </cell>
          <cell r="T261">
            <v>2</v>
          </cell>
          <cell r="U261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61">
            <v>5.14</v>
          </cell>
          <cell r="W261">
            <v>0.1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5.14</v>
          </cell>
          <cell r="AC261">
            <v>0</v>
          </cell>
          <cell r="AD261">
            <v>0</v>
          </cell>
          <cell r="AE261" t="str">
            <v>Sim</v>
          </cell>
        </row>
        <row r="262">
          <cell r="F262">
            <v>122441</v>
          </cell>
          <cell r="G262">
            <v>237163</v>
          </cell>
          <cell r="H262">
            <v>5826134000180</v>
          </cell>
          <cell r="I262" t="str">
            <v>DROGARIA E PERFUMARIA MOREIRA LTDA</v>
          </cell>
          <cell r="J262" t="str">
            <v>PADRE JOSE PEREIRA COELHO</v>
          </cell>
          <cell r="K262">
            <v>0</v>
          </cell>
          <cell r="M262" t="str">
            <v>CENTRO</v>
          </cell>
          <cell r="N262" t="str">
            <v>PARA DE MINAS</v>
          </cell>
          <cell r="O262" t="str">
            <v>MG</v>
          </cell>
          <cell r="Q262">
            <v>35660015</v>
          </cell>
          <cell r="R262">
            <v>170102220</v>
          </cell>
          <cell r="S262">
            <v>2</v>
          </cell>
          <cell r="T262">
            <v>2</v>
          </cell>
          <cell r="U262" t="str">
            <v>AntiFraude: Transações: 4 -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62">
            <v>5.14</v>
          </cell>
          <cell r="W262">
            <v>0.1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5.14</v>
          </cell>
          <cell r="AC262">
            <v>0</v>
          </cell>
          <cell r="AD262">
            <v>0</v>
          </cell>
          <cell r="AE262" t="str">
            <v>Sim</v>
          </cell>
        </row>
        <row r="263">
          <cell r="F263">
            <v>122442</v>
          </cell>
          <cell r="G263">
            <v>237170</v>
          </cell>
          <cell r="H263">
            <v>82200205000185</v>
          </cell>
          <cell r="I263" t="str">
            <v>FARMACIA FENELON LTDA</v>
          </cell>
          <cell r="J263" t="str">
            <v>RUA ALFREDO PINTO</v>
          </cell>
          <cell r="K263">
            <v>1928</v>
          </cell>
          <cell r="M263" t="str">
            <v>PARQUE DA FONTE</v>
          </cell>
          <cell r="N263" t="str">
            <v>SAO JOSE DOS PINHAIS</v>
          </cell>
          <cell r="O263" t="str">
            <v>PR</v>
          </cell>
          <cell r="Q263">
            <v>83050320</v>
          </cell>
          <cell r="R263">
            <v>170102220</v>
          </cell>
          <cell r="S263">
            <v>2</v>
          </cell>
          <cell r="T263">
            <v>2</v>
          </cell>
          <cell r="U263" t="str">
            <v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63">
            <v>5.14</v>
          </cell>
          <cell r="W263">
            <v>0.1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5.14</v>
          </cell>
          <cell r="AC263">
            <v>0</v>
          </cell>
          <cell r="AD263">
            <v>0</v>
          </cell>
          <cell r="AE263" t="str">
            <v>Sim</v>
          </cell>
        </row>
        <row r="264">
          <cell r="F264">
            <v>122443</v>
          </cell>
          <cell r="G264">
            <v>237181</v>
          </cell>
          <cell r="H264">
            <v>78333051000122</v>
          </cell>
          <cell r="I264" t="str">
            <v>FLAVIO ANTERO ROXO FARMACIA LTDA</v>
          </cell>
          <cell r="J264" t="str">
            <v>AVENIDA BRASIL</v>
          </cell>
          <cell r="K264">
            <v>592</v>
          </cell>
          <cell r="M264" t="str">
            <v>CENTRO</v>
          </cell>
          <cell r="N264" t="str">
            <v>TERRA BOA</v>
          </cell>
          <cell r="O264" t="str">
            <v>PR</v>
          </cell>
          <cell r="Q264">
            <v>87240000</v>
          </cell>
          <cell r="R264">
            <v>170102220</v>
          </cell>
          <cell r="S264">
            <v>2</v>
          </cell>
          <cell r="T264">
            <v>2</v>
          </cell>
          <cell r="U264" t="str">
            <v>AntiFraude: Transações: 9 - Tarifa: R$ 0,5600 - Total: R$ 5,04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64">
            <v>5.14</v>
          </cell>
          <cell r="W264">
            <v>0.1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5.14</v>
          </cell>
          <cell r="AC264">
            <v>0</v>
          </cell>
          <cell r="AD264">
            <v>0</v>
          </cell>
          <cell r="AE264" t="str">
            <v>Sim</v>
          </cell>
        </row>
        <row r="265">
          <cell r="F265">
            <v>122444</v>
          </cell>
          <cell r="G265">
            <v>237157</v>
          </cell>
          <cell r="H265">
            <v>6913480000168</v>
          </cell>
          <cell r="I265" t="str">
            <v>DIMENSIONAL BRASIL SOLUCOES LTDA</v>
          </cell>
          <cell r="J265" t="str">
            <v>AVENIDA ARMANDO RAGONHA</v>
          </cell>
          <cell r="K265">
            <v>190</v>
          </cell>
          <cell r="M265" t="str">
            <v>VILLAGE LIMEIRA</v>
          </cell>
          <cell r="N265" t="str">
            <v>LIMEIRA</v>
          </cell>
          <cell r="O265" t="str">
            <v>SP</v>
          </cell>
          <cell r="Q265">
            <v>13481316</v>
          </cell>
          <cell r="R265">
            <v>170102220</v>
          </cell>
          <cell r="S265">
            <v>2</v>
          </cell>
          <cell r="T265">
            <v>2</v>
          </cell>
          <cell r="U265" t="str">
            <v>AntiFraude: Transações: 934 - Total: R$ 2.322,94 (Cobrança pelo mínimo mensal) (Período de apuração: 01/08/2026 à 31/08/2026) Vencimento: 26/09/2026 Brazilian Tax Information: Valor estimado dos tributos IBS e CBS, conforme disposto no art. 12 da Lei Complementar nº 214/2025 (Reforma Tributária sobre Consumo): R$23.70 (1%)</v>
          </cell>
          <cell r="V265">
            <v>2370.35</v>
          </cell>
          <cell r="W265">
            <v>47.41</v>
          </cell>
          <cell r="X265">
            <v>35.56</v>
          </cell>
          <cell r="Y265">
            <v>15.41</v>
          </cell>
          <cell r="Z265">
            <v>71.11</v>
          </cell>
          <cell r="AA265">
            <v>23.7</v>
          </cell>
          <cell r="AB265">
            <v>2370.35</v>
          </cell>
          <cell r="AC265">
            <v>0</v>
          </cell>
          <cell r="AD265">
            <v>0</v>
          </cell>
          <cell r="AE265" t="str">
            <v>Sim</v>
          </cell>
        </row>
        <row r="266">
          <cell r="F266">
            <v>122445</v>
          </cell>
          <cell r="G266">
            <v>237190</v>
          </cell>
          <cell r="H266">
            <v>29174713000153</v>
          </cell>
          <cell r="I266" t="str">
            <v>BEYOND TECNOLOGIA LTDA</v>
          </cell>
          <cell r="J266" t="str">
            <v>RUA RAIMUNDO CHAVES</v>
          </cell>
          <cell r="K266">
            <v>2182</v>
          </cell>
          <cell r="L266" t="str">
            <v>BLOCO UNIC O SALA 50</v>
          </cell>
          <cell r="M266" t="str">
            <v>CANDELARIA</v>
          </cell>
          <cell r="N266" t="str">
            <v>NATAL</v>
          </cell>
          <cell r="O266" t="str">
            <v>RN</v>
          </cell>
          <cell r="Q266">
            <v>59064390</v>
          </cell>
          <cell r="R266">
            <v>170102220</v>
          </cell>
          <cell r="S266">
            <v>2</v>
          </cell>
          <cell r="T266">
            <v>2</v>
          </cell>
          <cell r="U266" t="str">
            <v>AntiFraude: Transações: 8695 - Tarifa: R$ 0,7800 - Total: R$ 6.782,10 (Período de apuração: 01/08/2026 à 31/08/2026) Vencimento: 11/10/2026 Brazilian Tax Information: Valor estimado dos tributos IBS e CBS, conforme disposto no art. 12 da Lei Complementar nº 214/2025 (Reforma Tributária sobre Consumo): R$69.21 (1%)</v>
          </cell>
          <cell r="V266">
            <v>6920.51</v>
          </cell>
          <cell r="W266">
            <v>138.41</v>
          </cell>
          <cell r="X266">
            <v>103.81</v>
          </cell>
          <cell r="Y266">
            <v>44.98</v>
          </cell>
          <cell r="Z266">
            <v>207.62</v>
          </cell>
          <cell r="AA266">
            <v>69.209999999999994</v>
          </cell>
          <cell r="AB266">
            <v>6920.51</v>
          </cell>
          <cell r="AC266">
            <v>0</v>
          </cell>
          <cell r="AD266">
            <v>0</v>
          </cell>
          <cell r="AE266" t="str">
            <v>Sim</v>
          </cell>
        </row>
        <row r="267">
          <cell r="F267">
            <v>122446</v>
          </cell>
          <cell r="G267">
            <v>237183</v>
          </cell>
          <cell r="H267">
            <v>9688887000127</v>
          </cell>
          <cell r="I267" t="str">
            <v>COMERCIO DE MEDICAMENTOS KOR LTDA</v>
          </cell>
          <cell r="J267" t="str">
            <v>ESTRADA JOAO ALOYSIO ALLGAYER</v>
          </cell>
          <cell r="K267">
            <v>1345</v>
          </cell>
          <cell r="M267" t="str">
            <v>LOMBA GRANDE</v>
          </cell>
          <cell r="N267" t="str">
            <v>NOVO HAMBURGO</v>
          </cell>
          <cell r="O267" t="str">
            <v>RS</v>
          </cell>
          <cell r="Q267">
            <v>93490000</v>
          </cell>
          <cell r="R267">
            <v>170102220</v>
          </cell>
          <cell r="S267">
            <v>2</v>
          </cell>
          <cell r="T267">
            <v>2</v>
          </cell>
          <cell r="U26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267">
            <v>5.14</v>
          </cell>
          <cell r="W267">
            <v>0.1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5.14</v>
          </cell>
          <cell r="AC267">
            <v>0</v>
          </cell>
          <cell r="AD267">
            <v>0</v>
          </cell>
          <cell r="AE267" t="str">
            <v>Sim</v>
          </cell>
        </row>
        <row r="268">
          <cell r="F268">
            <v>122447</v>
          </cell>
          <cell r="G268">
            <v>237174</v>
          </cell>
          <cell r="H268">
            <v>47161022000105</v>
          </cell>
          <cell r="I268" t="str">
            <v>FABRICA DIGITAL MODA E MARKETING LTDA</v>
          </cell>
          <cell r="J268" t="str">
            <v>AVENIDA MATO GROSSO</v>
          </cell>
          <cell r="K268">
            <v>649</v>
          </cell>
          <cell r="L268" t="str">
            <v>ANDAR 1</v>
          </cell>
          <cell r="M268" t="str">
            <v>PARAISO</v>
          </cell>
          <cell r="N268" t="str">
            <v>ARAGUARI</v>
          </cell>
          <cell r="O268" t="str">
            <v>MG</v>
          </cell>
          <cell r="Q268">
            <v>38445072</v>
          </cell>
          <cell r="R268">
            <v>170102220</v>
          </cell>
          <cell r="S268">
            <v>2</v>
          </cell>
          <cell r="T268">
            <v>2</v>
          </cell>
          <cell r="U268" t="str">
            <v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v>
          </cell>
          <cell r="V268">
            <v>1020.41</v>
          </cell>
          <cell r="W268">
            <v>20.41</v>
          </cell>
          <cell r="X268">
            <v>15.31</v>
          </cell>
          <cell r="Y268">
            <v>0</v>
          </cell>
          <cell r="Z268">
            <v>0</v>
          </cell>
          <cell r="AA268">
            <v>0</v>
          </cell>
          <cell r="AB268">
            <v>1020.41</v>
          </cell>
          <cell r="AC268">
            <v>0</v>
          </cell>
          <cell r="AD268">
            <v>0</v>
          </cell>
          <cell r="AE268" t="str">
            <v>Sim</v>
          </cell>
        </row>
        <row r="269">
          <cell r="F269">
            <v>122448</v>
          </cell>
          <cell r="G269">
            <v>237233</v>
          </cell>
          <cell r="H269">
            <v>12135178000129</v>
          </cell>
          <cell r="I269" t="str">
            <v>EMPREENDIMENTOS &amp; TRANSPORTES METALTDA</v>
          </cell>
          <cell r="J269" t="str">
            <v>RUA CIDADE IBARRA</v>
          </cell>
          <cell r="K269">
            <v>716</v>
          </cell>
          <cell r="L269" t="str">
            <v>A</v>
          </cell>
          <cell r="M269" t="str">
            <v>SAO SEBASTIAO</v>
          </cell>
          <cell r="N269" t="str">
            <v>SETE LAGOAS</v>
          </cell>
          <cell r="O269" t="str">
            <v>MG</v>
          </cell>
          <cell r="Q269">
            <v>35700711</v>
          </cell>
          <cell r="R269">
            <v>170102220</v>
          </cell>
          <cell r="S269">
            <v>2</v>
          </cell>
          <cell r="T269">
            <v>2</v>
          </cell>
          <cell r="U269" t="str">
            <v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v>
          </cell>
          <cell r="V269">
            <v>1632.65</v>
          </cell>
          <cell r="W269">
            <v>32.65</v>
          </cell>
          <cell r="X269">
            <v>24.49</v>
          </cell>
          <cell r="Y269">
            <v>10.61</v>
          </cell>
          <cell r="Z269">
            <v>48.98</v>
          </cell>
          <cell r="AA269">
            <v>16.329999999999998</v>
          </cell>
          <cell r="AB269">
            <v>1632.65</v>
          </cell>
          <cell r="AC269">
            <v>0</v>
          </cell>
          <cell r="AD269">
            <v>0</v>
          </cell>
          <cell r="AE269" t="str">
            <v>Sim</v>
          </cell>
        </row>
        <row r="270">
          <cell r="F270">
            <v>122449</v>
          </cell>
          <cell r="G270">
            <v>237249</v>
          </cell>
          <cell r="H270">
            <v>35410271000108</v>
          </cell>
          <cell r="I270" t="str">
            <v>BEMOL SERVICOS FINANCEIROS LTDA.</v>
          </cell>
          <cell r="J270" t="str">
            <v>FLORIANO PEIXOTO</v>
          </cell>
          <cell r="K270">
            <v>0</v>
          </cell>
          <cell r="M270" t="str">
            <v>CENTRO</v>
          </cell>
          <cell r="N270" t="str">
            <v>MANAUS</v>
          </cell>
          <cell r="O270" t="str">
            <v>AM</v>
          </cell>
          <cell r="Q270">
            <v>69005070</v>
          </cell>
          <cell r="R270">
            <v>170102220</v>
          </cell>
          <cell r="S270">
            <v>2</v>
          </cell>
          <cell r="T270">
            <v>2</v>
          </cell>
          <cell r="U270" t="str">
            <v>AntiFraude: Transações: 0 - Total: R$ 890,00 (Cobrança pelo mínimo mensal) (Período de apuração: 01/08/2026 à 31/08/2026) Vencimento: 26/09/2026 Brazilian Tax Information: Valor estimado dos tributos IBS e CBS, conforme disposto no art. 12 da Lei Complementar nº 214/2025 (Reforma Tributária sobre Consumo): R$9.08 (1%)</v>
          </cell>
          <cell r="V270">
            <v>908.16</v>
          </cell>
          <cell r="W270">
            <v>18.16</v>
          </cell>
          <cell r="X270">
            <v>13.62</v>
          </cell>
          <cell r="Y270">
            <v>5.9</v>
          </cell>
          <cell r="Z270">
            <v>27.24</v>
          </cell>
          <cell r="AA270">
            <v>9.08</v>
          </cell>
          <cell r="AB270">
            <v>908.16</v>
          </cell>
          <cell r="AC270">
            <v>0</v>
          </cell>
          <cell r="AD270">
            <v>0</v>
          </cell>
          <cell r="AE270" t="str">
            <v>Sim</v>
          </cell>
        </row>
        <row r="271">
          <cell r="F271">
            <v>122450</v>
          </cell>
          <cell r="G271">
            <v>237244</v>
          </cell>
          <cell r="H271">
            <v>26643740000130</v>
          </cell>
          <cell r="I271" t="str">
            <v>ESCOLAS BESA LTDA</v>
          </cell>
          <cell r="J271" t="str">
            <v>PROF VAHIA DE ABREU</v>
          </cell>
          <cell r="K271">
            <v>0</v>
          </cell>
          <cell r="M271" t="str">
            <v>VILA OLIMPIA</v>
          </cell>
          <cell r="N271" t="str">
            <v>SAO PAULO</v>
          </cell>
          <cell r="O271" t="str">
            <v>SP</v>
          </cell>
          <cell r="Q271">
            <v>4549002</v>
          </cell>
          <cell r="R271">
            <v>170102220</v>
          </cell>
          <cell r="S271">
            <v>2</v>
          </cell>
          <cell r="T271">
            <v>2</v>
          </cell>
          <cell r="U271" t="str">
            <v>AntiFraude: Transações: 6 - Total: R$ 198,00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R$2.02 (1%)</v>
          </cell>
          <cell r="V271">
            <v>202.04</v>
          </cell>
          <cell r="W271">
            <v>4.04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202.04</v>
          </cell>
          <cell r="AC271">
            <v>0</v>
          </cell>
          <cell r="AD271">
            <v>0</v>
          </cell>
          <cell r="AE271" t="str">
            <v>Sim</v>
          </cell>
        </row>
        <row r="272">
          <cell r="F272">
            <v>122451</v>
          </cell>
          <cell r="G272">
            <v>237229</v>
          </cell>
          <cell r="H272">
            <v>65650178000123</v>
          </cell>
          <cell r="I272" t="str">
            <v>FARMACIA FARMACEUTICA LTDA</v>
          </cell>
          <cell r="J272" t="str">
            <v>RICIERI ANTONIO VESSONI</v>
          </cell>
          <cell r="K272">
            <v>0</v>
          </cell>
          <cell r="M272" t="str">
            <v>CENTRO</v>
          </cell>
          <cell r="N272" t="str">
            <v>ITAPOLIS</v>
          </cell>
          <cell r="O272" t="str">
            <v>SP</v>
          </cell>
          <cell r="Q272">
            <v>14900045</v>
          </cell>
          <cell r="R272">
            <v>170102220</v>
          </cell>
          <cell r="S272">
            <v>2</v>
          </cell>
          <cell r="T272">
            <v>2</v>
          </cell>
          <cell r="U272" t="str">
            <v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72">
            <v>5.14</v>
          </cell>
          <cell r="W272">
            <v>0.1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5.14</v>
          </cell>
          <cell r="AC272">
            <v>0</v>
          </cell>
          <cell r="AD272">
            <v>0</v>
          </cell>
          <cell r="AE272" t="str">
            <v>Sim</v>
          </cell>
        </row>
        <row r="273">
          <cell r="F273">
            <v>122452</v>
          </cell>
          <cell r="G273">
            <v>237219</v>
          </cell>
          <cell r="H273">
            <v>59753202000157</v>
          </cell>
          <cell r="I273" t="str">
            <v>COMERCIAL GIORDANO DE PRESENTES LTD</v>
          </cell>
          <cell r="J273" t="str">
            <v>SALDANHA MARINHO</v>
          </cell>
          <cell r="K273">
            <v>0</v>
          </cell>
          <cell r="M273" t="str">
            <v>CENTRO</v>
          </cell>
          <cell r="N273" t="str">
            <v>SAO JOAO DA BOA VISTA</v>
          </cell>
          <cell r="O273" t="str">
            <v>SP</v>
          </cell>
          <cell r="Q273">
            <v>13870229</v>
          </cell>
          <cell r="R273">
            <v>170102220</v>
          </cell>
          <cell r="S273">
            <v>2</v>
          </cell>
          <cell r="T273">
            <v>2</v>
          </cell>
          <cell r="U273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273">
            <v>222.45</v>
          </cell>
          <cell r="W273">
            <v>4.45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222.45</v>
          </cell>
          <cell r="AC273">
            <v>0</v>
          </cell>
          <cell r="AD273">
            <v>0</v>
          </cell>
          <cell r="AE273" t="str">
            <v>Sim</v>
          </cell>
        </row>
        <row r="274">
          <cell r="F274">
            <v>122453</v>
          </cell>
          <cell r="G274">
            <v>237225</v>
          </cell>
          <cell r="H274">
            <v>64548739000115</v>
          </cell>
          <cell r="I274" t="str">
            <v>C M BRASIL LTDA</v>
          </cell>
          <cell r="J274" t="str">
            <v>AVENIDA SANTO AMARO</v>
          </cell>
          <cell r="K274">
            <v>1047</v>
          </cell>
          <cell r="L274" t="str">
            <v>ANDAR 7</v>
          </cell>
          <cell r="M274" t="str">
            <v>VILA NOVA CONCEICAO</v>
          </cell>
          <cell r="N274" t="str">
            <v>SAO PAULO</v>
          </cell>
          <cell r="O274" t="str">
            <v>SP</v>
          </cell>
          <cell r="Q274">
            <v>4505001</v>
          </cell>
          <cell r="R274">
            <v>170102220</v>
          </cell>
          <cell r="S274">
            <v>2</v>
          </cell>
          <cell r="T274">
            <v>2</v>
          </cell>
          <cell r="U274" t="str">
            <v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v>
          </cell>
          <cell r="V274">
            <v>1836.74</v>
          </cell>
          <cell r="W274">
            <v>36.729999999999997</v>
          </cell>
          <cell r="X274">
            <v>27.55</v>
          </cell>
          <cell r="Y274">
            <v>0</v>
          </cell>
          <cell r="Z274">
            <v>0</v>
          </cell>
          <cell r="AA274">
            <v>0</v>
          </cell>
          <cell r="AB274">
            <v>1836.74</v>
          </cell>
          <cell r="AC274">
            <v>0</v>
          </cell>
          <cell r="AD274">
            <v>0</v>
          </cell>
          <cell r="AE274" t="str">
            <v>Sim</v>
          </cell>
        </row>
        <row r="275">
          <cell r="F275">
            <v>122454</v>
          </cell>
          <cell r="G275">
            <v>237205</v>
          </cell>
          <cell r="H275">
            <v>10860588000107</v>
          </cell>
          <cell r="I275" t="str">
            <v>ESTACAO BALAO LTDA</v>
          </cell>
          <cell r="J275" t="str">
            <v>RUA CRUZEIRO DO SUL</v>
          </cell>
          <cell r="K275">
            <v>146</v>
          </cell>
          <cell r="M275" t="str">
            <v>NOVO PROGRESSO</v>
          </cell>
          <cell r="N275" t="str">
            <v>CONTAGEM</v>
          </cell>
          <cell r="O275" t="str">
            <v>MG</v>
          </cell>
          <cell r="Q275">
            <v>32115170</v>
          </cell>
          <cell r="R275">
            <v>170102220</v>
          </cell>
          <cell r="S275">
            <v>2</v>
          </cell>
          <cell r="T275">
            <v>2</v>
          </cell>
          <cell r="U275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275">
            <v>222.45</v>
          </cell>
          <cell r="W275">
            <v>4.45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222.45</v>
          </cell>
          <cell r="AC275">
            <v>0</v>
          </cell>
          <cell r="AD275">
            <v>0</v>
          </cell>
          <cell r="AE275" t="str">
            <v>Sim</v>
          </cell>
        </row>
        <row r="276">
          <cell r="F276">
            <v>122455</v>
          </cell>
          <cell r="G276">
            <v>237230</v>
          </cell>
          <cell r="H276">
            <v>18130757000165</v>
          </cell>
          <cell r="I276" t="str">
            <v>DROGARIA LAGOCENTER LTDA</v>
          </cell>
          <cell r="J276" t="str">
            <v>FRANCISCO SALES</v>
          </cell>
          <cell r="K276">
            <v>0</v>
          </cell>
          <cell r="M276" t="str">
            <v>CENTRO</v>
          </cell>
          <cell r="N276" t="str">
            <v>SETE LAGOAS</v>
          </cell>
          <cell r="O276" t="str">
            <v>MG</v>
          </cell>
          <cell r="Q276">
            <v>35700025</v>
          </cell>
          <cell r="R276">
            <v>170102220</v>
          </cell>
          <cell r="S276">
            <v>2</v>
          </cell>
          <cell r="T276">
            <v>2</v>
          </cell>
          <cell r="U276" t="str">
            <v>AntiFraude: Transações: 11 - Tarifa: R$ 0,5600 - Total: R$ 6,16 (Período de apuração: 01/08/2026 à 31/08/2026) Vencimento: 19/09/2026 Brazilian Tax Information: Valor estimado dos tributos IBS e CBS, conforme disposto no art. 12 da Lei Complementar nº 214/2025 (Reforma Tributária sobre Consumo): R$0.06 (1%)</v>
          </cell>
          <cell r="V276">
            <v>6.29</v>
          </cell>
          <cell r="W276">
            <v>0.13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6.29</v>
          </cell>
          <cell r="AC276">
            <v>0</v>
          </cell>
          <cell r="AD276">
            <v>0</v>
          </cell>
          <cell r="AE276" t="str">
            <v>Sim</v>
          </cell>
        </row>
        <row r="277">
          <cell r="F277">
            <v>122456</v>
          </cell>
          <cell r="G277">
            <v>237216</v>
          </cell>
          <cell r="H277">
            <v>60022921000187</v>
          </cell>
          <cell r="I277" t="str">
            <v>GOD FIRE INTERMEDIACAO E AGENCIAMENTOS LTDA</v>
          </cell>
          <cell r="J277" t="str">
            <v>AVENIDA DAS AMERICAS</v>
          </cell>
          <cell r="K277">
            <v>4200</v>
          </cell>
          <cell r="L277" t="str">
            <v>BLC 1 SAL 305</v>
          </cell>
          <cell r="M277" t="str">
            <v>BARRA DA TIJUCA</v>
          </cell>
          <cell r="N277" t="str">
            <v>RIO DE JANEIRO</v>
          </cell>
          <cell r="O277" t="str">
            <v>RJ</v>
          </cell>
          <cell r="Q277">
            <v>22640907</v>
          </cell>
          <cell r="R277">
            <v>170102220</v>
          </cell>
          <cell r="S277">
            <v>2</v>
          </cell>
          <cell r="T277">
            <v>2</v>
          </cell>
          <cell r="U277" t="str">
            <v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v>
          </cell>
          <cell r="V277">
            <v>1836.74</v>
          </cell>
          <cell r="W277">
            <v>36.729999999999997</v>
          </cell>
          <cell r="X277">
            <v>27.55</v>
          </cell>
          <cell r="Y277">
            <v>0</v>
          </cell>
          <cell r="Z277">
            <v>0</v>
          </cell>
          <cell r="AA277">
            <v>0</v>
          </cell>
          <cell r="AB277">
            <v>1836.74</v>
          </cell>
          <cell r="AC277">
            <v>0</v>
          </cell>
          <cell r="AD277">
            <v>0</v>
          </cell>
          <cell r="AE277" t="str">
            <v>Sim</v>
          </cell>
        </row>
        <row r="278">
          <cell r="F278">
            <v>122457</v>
          </cell>
          <cell r="G278">
            <v>237247</v>
          </cell>
          <cell r="H278">
            <v>64657626000158</v>
          </cell>
          <cell r="I278" t="str">
            <v>FERRONIX DISTRIBUIDORA DE FERRAMENTAS E EQUIPAMENTOS LTDA</v>
          </cell>
          <cell r="J278" t="str">
            <v>RUA BENEDITO VALADARES</v>
          </cell>
          <cell r="K278">
            <v>565</v>
          </cell>
          <cell r="M278" t="str">
            <v>CENTRO</v>
          </cell>
          <cell r="N278" t="str">
            <v>SETE LAGOAS</v>
          </cell>
          <cell r="O278" t="str">
            <v>MG</v>
          </cell>
          <cell r="Q278">
            <v>35700055</v>
          </cell>
          <cell r="R278">
            <v>170102220</v>
          </cell>
          <cell r="S278">
            <v>2</v>
          </cell>
          <cell r="T278">
            <v>2</v>
          </cell>
          <cell r="U278" t="str">
            <v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v>
          </cell>
          <cell r="V278">
            <v>1836.74</v>
          </cell>
          <cell r="W278">
            <v>36.729999999999997</v>
          </cell>
          <cell r="X278">
            <v>27.55</v>
          </cell>
          <cell r="Y278">
            <v>0</v>
          </cell>
          <cell r="Z278">
            <v>0</v>
          </cell>
          <cell r="AA278">
            <v>0</v>
          </cell>
          <cell r="AB278">
            <v>1836.74</v>
          </cell>
          <cell r="AC278">
            <v>0</v>
          </cell>
          <cell r="AD278">
            <v>0</v>
          </cell>
          <cell r="AE278" t="str">
            <v>Sim</v>
          </cell>
        </row>
        <row r="279">
          <cell r="F279">
            <v>122458</v>
          </cell>
          <cell r="G279">
            <v>237240</v>
          </cell>
          <cell r="H279">
            <v>65270460000185</v>
          </cell>
          <cell r="I279" t="str">
            <v>FLOWA SMART FLOW LTDA</v>
          </cell>
          <cell r="J279" t="str">
            <v>VISTA DO SOL</v>
          </cell>
          <cell r="K279">
            <v>0</v>
          </cell>
          <cell r="M279" t="str">
            <v>CAMPECHE</v>
          </cell>
          <cell r="N279" t="str">
            <v>FLORIANOPOLIS</v>
          </cell>
          <cell r="O279" t="str">
            <v>SC</v>
          </cell>
          <cell r="Q279">
            <v>88065466</v>
          </cell>
          <cell r="R279">
            <v>170102220</v>
          </cell>
          <cell r="S279">
            <v>2</v>
          </cell>
          <cell r="T279">
            <v>2</v>
          </cell>
          <cell r="U279" t="str">
            <v>AntiFraude: Transações: 0 - Total: R$ 166,00 (Cobrança pelo mínimo mensal) (Período de apuração: 01/08/2026 à 31/08/2026) Vencimento: 19/09/2026 Brazilian Tax Information: Valor estimado dos tributos IBS e CBS, conforme disposto no art. 12 da Lei Complementar nº 214/2025 (Reforma Tributária sobre Consumo): R$1.69 (1%)</v>
          </cell>
          <cell r="V279">
            <v>169.39</v>
          </cell>
          <cell r="W279">
            <v>3.39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169.39</v>
          </cell>
          <cell r="AC279">
            <v>0</v>
          </cell>
          <cell r="AD279">
            <v>0</v>
          </cell>
          <cell r="AE279" t="str">
            <v>Sim</v>
          </cell>
        </row>
        <row r="280">
          <cell r="F280">
            <v>122459</v>
          </cell>
          <cell r="G280">
            <v>237217</v>
          </cell>
          <cell r="H280">
            <v>49397558000303</v>
          </cell>
          <cell r="I280" t="str">
            <v>FAST FERRAMENTAS LTDA</v>
          </cell>
          <cell r="J280" t="str">
            <v>RUA FELIX MALBURG</v>
          </cell>
          <cell r="K280">
            <v>331</v>
          </cell>
          <cell r="M280" t="str">
            <v>SAO VICENTE</v>
          </cell>
          <cell r="N280" t="str">
            <v>ITAJAI</v>
          </cell>
          <cell r="O280" t="str">
            <v>SC</v>
          </cell>
          <cell r="Q280">
            <v>88309330</v>
          </cell>
          <cell r="R280">
            <v>170102220</v>
          </cell>
          <cell r="S280">
            <v>2</v>
          </cell>
          <cell r="T280">
            <v>2</v>
          </cell>
          <cell r="U280" t="str">
            <v>AntiFraude: Transações: 76 - Total: R$ 820,00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R$8.37 (1%)</v>
          </cell>
          <cell r="V280">
            <v>836.73</v>
          </cell>
          <cell r="W280">
            <v>16.73</v>
          </cell>
          <cell r="X280">
            <v>12.55</v>
          </cell>
          <cell r="Y280">
            <v>5.44</v>
          </cell>
          <cell r="Z280">
            <v>25.1</v>
          </cell>
          <cell r="AA280">
            <v>8.3699999999999992</v>
          </cell>
          <cell r="AB280">
            <v>836.73</v>
          </cell>
          <cell r="AC280">
            <v>0</v>
          </cell>
          <cell r="AD280">
            <v>0</v>
          </cell>
          <cell r="AE280" t="str">
            <v>Sim</v>
          </cell>
        </row>
        <row r="281">
          <cell r="F281">
            <v>122460</v>
          </cell>
          <cell r="G281">
            <v>237236</v>
          </cell>
          <cell r="H281">
            <v>42761124000130</v>
          </cell>
          <cell r="I281" t="str">
            <v>A2RM COMERCIO VAREJISTA DE CARNES LTDA</v>
          </cell>
          <cell r="J281" t="str">
            <v>SETOR QUADRA 4 CONJUNTO A</v>
          </cell>
          <cell r="K281" t="str">
            <v>S/N</v>
          </cell>
          <cell r="L281" t="str">
            <v>LOTE 04 SA LA 05</v>
          </cell>
          <cell r="M281" t="str">
            <v>VARJAO</v>
          </cell>
          <cell r="N281" t="str">
            <v>BRASILIA</v>
          </cell>
          <cell r="O281" t="str">
            <v>DF</v>
          </cell>
          <cell r="Q281">
            <v>71555103</v>
          </cell>
          <cell r="R281">
            <v>170102220</v>
          </cell>
          <cell r="S281">
            <v>2</v>
          </cell>
          <cell r="T281">
            <v>2</v>
          </cell>
          <cell r="U281" t="str">
            <v>AntiFraude: Transações: 42 -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v>
          </cell>
          <cell r="V281">
            <v>200</v>
          </cell>
          <cell r="W281">
            <v>4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200</v>
          </cell>
          <cell r="AC281">
            <v>0</v>
          </cell>
          <cell r="AD281">
            <v>0</v>
          </cell>
          <cell r="AE281" t="str">
            <v>Sim</v>
          </cell>
        </row>
        <row r="282">
          <cell r="F282">
            <v>122461</v>
          </cell>
          <cell r="G282">
            <v>237209</v>
          </cell>
          <cell r="H282">
            <v>4893323000617</v>
          </cell>
          <cell r="I282" t="str">
            <v>CAVEDANO COMERCIO DIGITAL LTDA</v>
          </cell>
          <cell r="J282" t="str">
            <v>DONA FRANCISCA</v>
          </cell>
          <cell r="K282">
            <v>0</v>
          </cell>
          <cell r="M282" t="str">
            <v>DISTRITO INDUSTRIAL</v>
          </cell>
          <cell r="N282" t="str">
            <v>JOINVILLE</v>
          </cell>
          <cell r="O282" t="str">
            <v>SC</v>
          </cell>
          <cell r="Q282">
            <v>89219600</v>
          </cell>
          <cell r="R282">
            <v>170102220</v>
          </cell>
          <cell r="S282">
            <v>2</v>
          </cell>
          <cell r="T282">
            <v>2</v>
          </cell>
          <cell r="U282" t="str">
            <v>AntiFraude: Transações: 293 - Tarifa: R$ 0,9200 - Total: R$ 269,56 (Período de apuração: 01/08/2026 à 31/08/2026) Vencimento: 11/10/2026 Brazilian Tax Information: Valor estimado dos tributos IBS e CBS, conforme disposto no art. 12 da Lei Complementar nº 214/2025 (Reforma Tributária sobre Consumo): R$2.75 (1%)</v>
          </cell>
          <cell r="V282">
            <v>275.06</v>
          </cell>
          <cell r="W282">
            <v>5.5</v>
          </cell>
          <cell r="X282">
            <v>0</v>
          </cell>
          <cell r="Y282">
            <v>1.79</v>
          </cell>
          <cell r="Z282">
            <v>8.25</v>
          </cell>
          <cell r="AA282">
            <v>2.75</v>
          </cell>
          <cell r="AB282">
            <v>275.06</v>
          </cell>
          <cell r="AC282">
            <v>0</v>
          </cell>
          <cell r="AD282">
            <v>0</v>
          </cell>
          <cell r="AE282" t="str">
            <v>Sim</v>
          </cell>
        </row>
        <row r="283">
          <cell r="F283">
            <v>122462</v>
          </cell>
          <cell r="G283">
            <v>237245</v>
          </cell>
          <cell r="H283">
            <v>5345804000146</v>
          </cell>
          <cell r="I283" t="str">
            <v>CAFE DO MERCADO - COMERCIO DE CAFES</v>
          </cell>
          <cell r="J283" t="str">
            <v>CAIRU</v>
          </cell>
          <cell r="K283">
            <v>0</v>
          </cell>
          <cell r="M283" t="str">
            <v>NAVEGANTES</v>
          </cell>
          <cell r="N283" t="str">
            <v>PORTO ALEGRE</v>
          </cell>
          <cell r="O283" t="str">
            <v>RS</v>
          </cell>
          <cell r="Q283">
            <v>90230031</v>
          </cell>
          <cell r="R283">
            <v>170102220</v>
          </cell>
          <cell r="S283">
            <v>2</v>
          </cell>
          <cell r="T283">
            <v>2</v>
          </cell>
          <cell r="U283" t="str">
            <v>AntiFraude: Transações: 137 -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v>
          </cell>
          <cell r="V283">
            <v>200</v>
          </cell>
          <cell r="W283">
            <v>4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200</v>
          </cell>
          <cell r="AC283">
            <v>0</v>
          </cell>
          <cell r="AD283">
            <v>0</v>
          </cell>
          <cell r="AE283" t="str">
            <v>Sim</v>
          </cell>
        </row>
        <row r="284">
          <cell r="F284">
            <v>122463</v>
          </cell>
          <cell r="G284">
            <v>237238</v>
          </cell>
          <cell r="H284">
            <v>43615025000102</v>
          </cell>
          <cell r="I284" t="str">
            <v>43.615.025 JOANA PAULA HERBERT</v>
          </cell>
          <cell r="J284" t="str">
            <v>URUGUAI</v>
          </cell>
          <cell r="K284">
            <v>0</v>
          </cell>
          <cell r="M284" t="str">
            <v>SAO SEBASTIAO</v>
          </cell>
          <cell r="N284" t="str">
            <v>ESTEIO</v>
          </cell>
          <cell r="O284" t="str">
            <v>RS</v>
          </cell>
          <cell r="Q284">
            <v>93265340</v>
          </cell>
          <cell r="R284">
            <v>170102220</v>
          </cell>
          <cell r="S284">
            <v>2</v>
          </cell>
          <cell r="T284">
            <v>2</v>
          </cell>
          <cell r="U284" t="str">
            <v>AntiFraude: Transações: 0 - Total: R$ 204,00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R$2.08 (1%)</v>
          </cell>
          <cell r="V284">
            <v>208.16</v>
          </cell>
          <cell r="W284">
            <v>4.16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208.16</v>
          </cell>
          <cell r="AC284">
            <v>0</v>
          </cell>
          <cell r="AD284">
            <v>0</v>
          </cell>
          <cell r="AE284" t="str">
            <v>Sim</v>
          </cell>
        </row>
        <row r="285">
          <cell r="F285">
            <v>122464</v>
          </cell>
          <cell r="G285">
            <v>237213</v>
          </cell>
          <cell r="H285">
            <v>90627332000193</v>
          </cell>
          <cell r="I285" t="str">
            <v>DISTRIBUIDORA MERIDIONAL DE MOTORESCUMMINS LTDA</v>
          </cell>
          <cell r="J285" t="str">
            <v>ASSIS BRASIL</v>
          </cell>
          <cell r="K285">
            <v>0</v>
          </cell>
          <cell r="M285" t="str">
            <v>SARANDI</v>
          </cell>
          <cell r="N285" t="str">
            <v>PORTO ALEGRE</v>
          </cell>
          <cell r="O285" t="str">
            <v>RS</v>
          </cell>
          <cell r="Q285">
            <v>91140000</v>
          </cell>
          <cell r="R285">
            <v>170102220</v>
          </cell>
          <cell r="S285">
            <v>2</v>
          </cell>
          <cell r="T285">
            <v>2</v>
          </cell>
          <cell r="U285" t="str">
            <v>AntiFraude: Transações: 0 - Total: R$ 190,00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R$1.94 (1%)</v>
          </cell>
          <cell r="V285">
            <v>193.88</v>
          </cell>
          <cell r="W285">
            <v>3.88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193.88</v>
          </cell>
          <cell r="AC285">
            <v>0</v>
          </cell>
          <cell r="AD285">
            <v>0</v>
          </cell>
          <cell r="AE285" t="str">
            <v>Sim</v>
          </cell>
        </row>
        <row r="286">
          <cell r="F286">
            <v>122465</v>
          </cell>
          <cell r="G286">
            <v>237206</v>
          </cell>
          <cell r="H286">
            <v>45729066000155</v>
          </cell>
          <cell r="I286" t="str">
            <v>AUTO FORTE COMERCIO DE PECAS LTDA</v>
          </cell>
          <cell r="J286" t="str">
            <v>RUA DOS MISSIONARIOS</v>
          </cell>
          <cell r="K286">
            <v>1312</v>
          </cell>
          <cell r="L286" t="str">
            <v>QUADRA29 L OTE 17</v>
          </cell>
          <cell r="M286" t="str">
            <v>BRO RODOVIARIO</v>
          </cell>
          <cell r="N286" t="str">
            <v>GOIANIA</v>
          </cell>
          <cell r="O286" t="str">
            <v>GO</v>
          </cell>
          <cell r="Q286">
            <v>74430360</v>
          </cell>
          <cell r="R286">
            <v>170102220</v>
          </cell>
          <cell r="S286">
            <v>2</v>
          </cell>
          <cell r="T286">
            <v>2</v>
          </cell>
          <cell r="U286" t="str">
            <v>AntiFraude: Transações: 8 -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v>
          </cell>
          <cell r="V286">
            <v>195.92</v>
          </cell>
          <cell r="W286">
            <v>3.92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195.92</v>
          </cell>
          <cell r="AC286">
            <v>0</v>
          </cell>
          <cell r="AD286">
            <v>0</v>
          </cell>
          <cell r="AE286" t="str">
            <v>Sim</v>
          </cell>
        </row>
        <row r="287">
          <cell r="F287">
            <v>122466</v>
          </cell>
          <cell r="G287">
            <v>237237</v>
          </cell>
          <cell r="H287">
            <v>62090265000185</v>
          </cell>
          <cell r="I287" t="str">
            <v>GM COMERCIO DE CONFECCOES LTDA</v>
          </cell>
          <cell r="J287" t="str">
            <v>AVENIDA JOAO PESSOA</v>
          </cell>
          <cell r="K287">
            <v>6886</v>
          </cell>
          <cell r="L287" t="str">
            <v>SALA A</v>
          </cell>
          <cell r="M287" t="str">
            <v>PARANGABA</v>
          </cell>
          <cell r="N287" t="str">
            <v>FORTALEZA</v>
          </cell>
          <cell r="O287" t="str">
            <v>CE</v>
          </cell>
          <cell r="Q287">
            <v>60721340</v>
          </cell>
          <cell r="R287">
            <v>170102220</v>
          </cell>
          <cell r="S287">
            <v>2</v>
          </cell>
          <cell r="T287">
            <v>2</v>
          </cell>
          <cell r="U287" t="str">
            <v>AntiFraude: Transações: 227 - Tarifa: R$ 0,9800 - Total: R$ 222,46 (Período de apuração: 01/08/2026 à 31/08/2026) Vencimento: 11/10/2026 Brazilian Tax Information: Valor estimado dos tributos IBS e CBS, conforme disposto no art. 12 da Lei Complementar nº 214/2025 (Reforma Tributária sobre Consumo): R$2.27 (1%)</v>
          </cell>
          <cell r="V287">
            <v>227</v>
          </cell>
          <cell r="W287">
            <v>4.54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227</v>
          </cell>
          <cell r="AC287">
            <v>0</v>
          </cell>
          <cell r="AD287">
            <v>0</v>
          </cell>
          <cell r="AE287" t="str">
            <v>Sim</v>
          </cell>
        </row>
        <row r="288">
          <cell r="F288">
            <v>122467</v>
          </cell>
          <cell r="G288">
            <v>237241</v>
          </cell>
          <cell r="H288">
            <v>43112799000110</v>
          </cell>
          <cell r="I288" t="str">
            <v>CINDY COSMETICS LTDA</v>
          </cell>
          <cell r="J288" t="str">
            <v>RUA ALASKA</v>
          </cell>
          <cell r="K288">
            <v>136</v>
          </cell>
          <cell r="L288" t="str">
            <v>BOX A1072</v>
          </cell>
          <cell r="M288" t="str">
            <v>JARDIM CANADA</v>
          </cell>
          <cell r="N288" t="str">
            <v>NOVA LIMA</v>
          </cell>
          <cell r="O288" t="str">
            <v>MG</v>
          </cell>
          <cell r="Q288">
            <v>34007718</v>
          </cell>
          <cell r="R288">
            <v>170102220</v>
          </cell>
          <cell r="S288">
            <v>2</v>
          </cell>
          <cell r="T288">
            <v>2</v>
          </cell>
          <cell r="U288" t="str">
            <v>AntiFraude: Transações: 28 -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v>
          </cell>
          <cell r="V288">
            <v>222.45</v>
          </cell>
          <cell r="W288">
            <v>4.45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222.45</v>
          </cell>
          <cell r="AC288">
            <v>0</v>
          </cell>
          <cell r="AD288">
            <v>0</v>
          </cell>
          <cell r="AE288" t="str">
            <v>Sim</v>
          </cell>
        </row>
        <row r="289">
          <cell r="F289">
            <v>122468</v>
          </cell>
          <cell r="G289">
            <v>237232</v>
          </cell>
          <cell r="H289">
            <v>28767133000107</v>
          </cell>
          <cell r="I289" t="str">
            <v>DZ &amp; DZ COMERCIO DE PRODUTOS ALIMENTICIOS LTDA</v>
          </cell>
          <cell r="J289" t="str">
            <v>DUQUE DE CAXIAS</v>
          </cell>
          <cell r="K289">
            <v>0</v>
          </cell>
          <cell r="M289" t="str">
            <v>JARDIM PROMECA</v>
          </cell>
          <cell r="N289" t="str">
            <v>VARZEA PAULISTA</v>
          </cell>
          <cell r="O289" t="str">
            <v>SP</v>
          </cell>
          <cell r="Q289">
            <v>13223025</v>
          </cell>
          <cell r="R289">
            <v>170102220</v>
          </cell>
          <cell r="S289">
            <v>2</v>
          </cell>
          <cell r="T289">
            <v>2</v>
          </cell>
          <cell r="U289" t="str">
            <v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v>
          </cell>
          <cell r="V289">
            <v>195.92</v>
          </cell>
          <cell r="W289">
            <v>3.92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195.92</v>
          </cell>
          <cell r="AC289">
            <v>0</v>
          </cell>
          <cell r="AD289">
            <v>0</v>
          </cell>
          <cell r="AE289" t="str">
            <v>Sim</v>
          </cell>
        </row>
        <row r="290">
          <cell r="F290">
            <v>122469</v>
          </cell>
          <cell r="G290">
            <v>237215</v>
          </cell>
          <cell r="H290">
            <v>10707506000199</v>
          </cell>
          <cell r="I290" t="str">
            <v>COELHO E CORREA COMERCIO DE MEDICAMENTOS LTDA</v>
          </cell>
          <cell r="J290" t="str">
            <v>ARTHUR LUPURINE SAMPAIO, J.S., PE</v>
          </cell>
          <cell r="K290">
            <v>0</v>
          </cell>
          <cell r="M290" t="str">
            <v>JARDIM RESIDENCIAL VENEZA</v>
          </cell>
          <cell r="N290" t="str">
            <v>INDAIATUBA</v>
          </cell>
          <cell r="O290" t="str">
            <v>SP</v>
          </cell>
          <cell r="Q290">
            <v>13348832</v>
          </cell>
          <cell r="R290">
            <v>170102220</v>
          </cell>
          <cell r="S290">
            <v>2</v>
          </cell>
          <cell r="T290">
            <v>2</v>
          </cell>
          <cell r="U290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90">
            <v>5.14</v>
          </cell>
          <cell r="W290">
            <v>0.1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5.14</v>
          </cell>
          <cell r="AC290">
            <v>0</v>
          </cell>
          <cell r="AD290">
            <v>0</v>
          </cell>
          <cell r="AE290" t="str">
            <v>Sim</v>
          </cell>
        </row>
        <row r="291">
          <cell r="F291">
            <v>122470</v>
          </cell>
          <cell r="G291">
            <v>237211</v>
          </cell>
          <cell r="H291">
            <v>26240625000114</v>
          </cell>
          <cell r="I291" t="str">
            <v>DROGARIA W. &amp; L. LTDA</v>
          </cell>
          <cell r="J291" t="str">
            <v>AROEIRA</v>
          </cell>
          <cell r="K291">
            <v>0</v>
          </cell>
          <cell r="M291" t="str">
            <v>CENTRO</v>
          </cell>
          <cell r="N291" t="str">
            <v>RUBIATABA</v>
          </cell>
          <cell r="O291" t="str">
            <v>GO</v>
          </cell>
          <cell r="Q291">
            <v>76350000</v>
          </cell>
          <cell r="R291">
            <v>170102220</v>
          </cell>
          <cell r="S291">
            <v>2</v>
          </cell>
          <cell r="T291">
            <v>2</v>
          </cell>
          <cell r="U291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91">
            <v>5.14</v>
          </cell>
          <cell r="W291">
            <v>0.1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5.14</v>
          </cell>
          <cell r="AC291">
            <v>0</v>
          </cell>
          <cell r="AD291">
            <v>0</v>
          </cell>
          <cell r="AE291" t="str">
            <v>Sim</v>
          </cell>
        </row>
        <row r="292">
          <cell r="F292">
            <v>122471</v>
          </cell>
          <cell r="G292">
            <v>237214</v>
          </cell>
          <cell r="H292">
            <v>61742336000114</v>
          </cell>
          <cell r="I292" t="str">
            <v>CODIGO TARIFARIO VIAGENS LTDA</v>
          </cell>
          <cell r="J292" t="str">
            <v>PAULISTA</v>
          </cell>
          <cell r="K292">
            <v>0</v>
          </cell>
          <cell r="M292" t="str">
            <v>BELA VISTA</v>
          </cell>
          <cell r="N292" t="str">
            <v>SAO PAULO</v>
          </cell>
          <cell r="O292" t="str">
            <v>SP</v>
          </cell>
          <cell r="Q292">
            <v>1311914</v>
          </cell>
          <cell r="R292">
            <v>170102220</v>
          </cell>
          <cell r="S292">
            <v>2</v>
          </cell>
          <cell r="T292">
            <v>2</v>
          </cell>
          <cell r="U292" t="str">
            <v>AntiFraude: Transações: 0 - Total: R$ 124,85 (Cobrança pelo mínimo mensal) (Período de apuração: 01/08/2026 à 31/08/2026) Vencimento: 19/09/2026 Brazilian Tax Information: Valor estimado dos tributos IBS e CBS, conforme disposto no art. 12 da Lei Complementar nº 214/2025 (Reforma Tributária sobre Consumo): R$1.27 (1%)</v>
          </cell>
          <cell r="V292">
            <v>127.4</v>
          </cell>
          <cell r="W292">
            <v>2.5499999999999998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127.4</v>
          </cell>
          <cell r="AC292">
            <v>0</v>
          </cell>
          <cell r="AD292">
            <v>0</v>
          </cell>
          <cell r="AE292" t="str">
            <v>Sim</v>
          </cell>
        </row>
        <row r="293">
          <cell r="F293">
            <v>122472</v>
          </cell>
          <cell r="G293">
            <v>237228</v>
          </cell>
          <cell r="H293">
            <v>3943249000129</v>
          </cell>
          <cell r="I293" t="str">
            <v>GERMANO ZENI VEICULOS LTDA</v>
          </cell>
          <cell r="J293" t="str">
            <v>BRASIL</v>
          </cell>
          <cell r="K293">
            <v>0</v>
          </cell>
          <cell r="M293" t="str">
            <v>REGIAO DO LAGO</v>
          </cell>
          <cell r="N293" t="str">
            <v>CASCAVEL</v>
          </cell>
          <cell r="O293" t="str">
            <v>PR</v>
          </cell>
          <cell r="Q293">
            <v>85812500</v>
          </cell>
          <cell r="R293">
            <v>170102220</v>
          </cell>
          <cell r="S293">
            <v>2</v>
          </cell>
          <cell r="T293">
            <v>2</v>
          </cell>
          <cell r="U293" t="str">
            <v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v>
          </cell>
          <cell r="V293">
            <v>483.67</v>
          </cell>
          <cell r="W293">
            <v>9.67</v>
          </cell>
          <cell r="X293">
            <v>0</v>
          </cell>
          <cell r="Y293">
            <v>3.14</v>
          </cell>
          <cell r="Z293">
            <v>14.51</v>
          </cell>
          <cell r="AA293">
            <v>4.84</v>
          </cell>
          <cell r="AB293">
            <v>483.67</v>
          </cell>
          <cell r="AC293">
            <v>0</v>
          </cell>
          <cell r="AD293">
            <v>0</v>
          </cell>
          <cell r="AE293" t="str">
            <v>Sim</v>
          </cell>
        </row>
        <row r="294">
          <cell r="F294">
            <v>122473</v>
          </cell>
          <cell r="G294">
            <v>237250</v>
          </cell>
          <cell r="H294">
            <v>60047743000149</v>
          </cell>
          <cell r="I294" t="str">
            <v>EDITORA E LIVRARIA SEFER LTDA</v>
          </cell>
          <cell r="J294" t="str">
            <v>BARROS</v>
          </cell>
          <cell r="K294">
            <v>0</v>
          </cell>
          <cell r="M294" t="str">
            <v>SANTA CECILIA</v>
          </cell>
          <cell r="N294" t="str">
            <v>SAO PAULO</v>
          </cell>
          <cell r="O294" t="str">
            <v>SP</v>
          </cell>
          <cell r="Q294">
            <v>1232001</v>
          </cell>
          <cell r="R294">
            <v>170102220</v>
          </cell>
          <cell r="S294">
            <v>2</v>
          </cell>
          <cell r="T294">
            <v>2</v>
          </cell>
          <cell r="U294" t="str">
            <v>AntiFraude: Transações: 587 -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v>
          </cell>
          <cell r="V294">
            <v>816.33</v>
          </cell>
          <cell r="W294">
            <v>16.329999999999998</v>
          </cell>
          <cell r="X294">
            <v>12.24</v>
          </cell>
          <cell r="Y294">
            <v>5.31</v>
          </cell>
          <cell r="Z294">
            <v>24.49</v>
          </cell>
          <cell r="AA294">
            <v>8.16</v>
          </cell>
          <cell r="AB294">
            <v>816.33</v>
          </cell>
          <cell r="AC294">
            <v>0</v>
          </cell>
          <cell r="AD294">
            <v>0</v>
          </cell>
          <cell r="AE294" t="str">
            <v>Sim</v>
          </cell>
        </row>
        <row r="295">
          <cell r="F295">
            <v>122474</v>
          </cell>
          <cell r="G295">
            <v>237212</v>
          </cell>
          <cell r="H295">
            <v>37289098000159</v>
          </cell>
          <cell r="I295" t="str">
            <v>FREITAS &amp; BIANCHI SERVICOS DIGITAIS LTDA</v>
          </cell>
          <cell r="J295" t="str">
            <v>AVENIDA PAULISTA</v>
          </cell>
          <cell r="K295">
            <v>777</v>
          </cell>
          <cell r="L295" t="str">
            <v>ANEXO 1194 SALA 102</v>
          </cell>
          <cell r="M295" t="str">
            <v>BELA VISTA</v>
          </cell>
          <cell r="N295" t="str">
            <v>SAO PAULO</v>
          </cell>
          <cell r="O295" t="str">
            <v>SP</v>
          </cell>
          <cell r="Q295">
            <v>1311914</v>
          </cell>
          <cell r="R295">
            <v>170102220</v>
          </cell>
          <cell r="S295">
            <v>2</v>
          </cell>
          <cell r="T295">
            <v>2</v>
          </cell>
          <cell r="U295" t="str">
            <v>AntiFraude: Transações: 0 - Total: R$ 7.000,00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R$71.43 (1%)</v>
          </cell>
          <cell r="V295">
            <v>7142.86</v>
          </cell>
          <cell r="W295">
            <v>142.86000000000001</v>
          </cell>
          <cell r="X295">
            <v>107.14</v>
          </cell>
          <cell r="Y295">
            <v>0</v>
          </cell>
          <cell r="Z295">
            <v>0</v>
          </cell>
          <cell r="AA295">
            <v>0</v>
          </cell>
          <cell r="AB295">
            <v>7142.86</v>
          </cell>
          <cell r="AC295">
            <v>0</v>
          </cell>
          <cell r="AD295">
            <v>0</v>
          </cell>
          <cell r="AE295" t="str">
            <v>Sim</v>
          </cell>
        </row>
        <row r="296">
          <cell r="F296">
            <v>122475</v>
          </cell>
          <cell r="G296">
            <v>237203</v>
          </cell>
          <cell r="H296">
            <v>5154607000140</v>
          </cell>
          <cell r="I296" t="str">
            <v>DROGARIA SOUSA LTDA</v>
          </cell>
          <cell r="J296" t="str">
            <v>RUA EURIPEDES MARTINS</v>
          </cell>
          <cell r="K296">
            <v>948</v>
          </cell>
          <cell r="M296" t="str">
            <v>CENTRO</v>
          </cell>
          <cell r="N296" t="str">
            <v>VALENCA DO PIAUI</v>
          </cell>
          <cell r="O296" t="str">
            <v>PI</v>
          </cell>
          <cell r="Q296">
            <v>64300000</v>
          </cell>
          <cell r="R296">
            <v>170102220</v>
          </cell>
          <cell r="S296">
            <v>2</v>
          </cell>
          <cell r="T296">
            <v>2</v>
          </cell>
          <cell r="U296" t="str">
            <v>AntiFraude: Transações: 18 - Tarifa: R$ 0,3900 - Total: R$ 7,02 (Período de apuração: 01/08/2026 à 31/08/2026) Vencimento: 26/09/2026 Brazilian Tax Information: Valor estimado dos tributos IBS e CBS, conforme disposto no art. 12 da Lei Complementar nº 214/2025 (Reforma Tributária sobre Consumo): R$0.07 (1%)</v>
          </cell>
          <cell r="V296">
            <v>7.16</v>
          </cell>
          <cell r="W296">
            <v>0.14000000000000001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7.16</v>
          </cell>
          <cell r="AC296">
            <v>0</v>
          </cell>
          <cell r="AD296">
            <v>0</v>
          </cell>
          <cell r="AE296" t="str">
            <v>Sim</v>
          </cell>
        </row>
        <row r="297">
          <cell r="F297">
            <v>122476</v>
          </cell>
          <cell r="G297">
            <v>237227</v>
          </cell>
          <cell r="H297">
            <v>84932979001360</v>
          </cell>
          <cell r="I297" t="str">
            <v>BONA FARMA LTDA</v>
          </cell>
          <cell r="J297" t="str">
            <v>PADRE CHAGAS</v>
          </cell>
          <cell r="K297">
            <v>0</v>
          </cell>
          <cell r="M297" t="str">
            <v>CENTRO</v>
          </cell>
          <cell r="N297" t="str">
            <v>GUARAPUAVA</v>
          </cell>
          <cell r="O297" t="str">
            <v>PR</v>
          </cell>
          <cell r="Q297">
            <v>85010020</v>
          </cell>
          <cell r="R297">
            <v>170102220</v>
          </cell>
          <cell r="S297">
            <v>2</v>
          </cell>
          <cell r="T297">
            <v>2</v>
          </cell>
          <cell r="U297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97">
            <v>5.14</v>
          </cell>
          <cell r="W297">
            <v>0.1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5.14</v>
          </cell>
          <cell r="AC297">
            <v>0</v>
          </cell>
          <cell r="AD297">
            <v>0</v>
          </cell>
          <cell r="AE297" t="str">
            <v>Sim</v>
          </cell>
        </row>
        <row r="298">
          <cell r="F298">
            <v>122477</v>
          </cell>
          <cell r="G298">
            <v>237234</v>
          </cell>
          <cell r="H298">
            <v>61784746000128</v>
          </cell>
          <cell r="I298" t="str">
            <v>CUSTOM LAB PRODUTOS PERSONALIZADOS</v>
          </cell>
          <cell r="J298" t="str">
            <v>BELA VISTA</v>
          </cell>
          <cell r="K298">
            <v>0</v>
          </cell>
          <cell r="M298" t="str">
            <v>SOTECO</v>
          </cell>
          <cell r="N298" t="str">
            <v>VILA VELHA</v>
          </cell>
          <cell r="O298" t="str">
            <v>ES</v>
          </cell>
          <cell r="Q298">
            <v>29106090</v>
          </cell>
          <cell r="R298">
            <v>170102220</v>
          </cell>
          <cell r="S298">
            <v>2</v>
          </cell>
          <cell r="T298">
            <v>2</v>
          </cell>
          <cell r="U298" t="str">
            <v>AntiFraude: Transações: 114 -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298">
            <v>222.45</v>
          </cell>
          <cell r="W298">
            <v>4.45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222.45</v>
          </cell>
          <cell r="AC298">
            <v>0</v>
          </cell>
          <cell r="AD298">
            <v>0</v>
          </cell>
          <cell r="AE298" t="str">
            <v>Sim</v>
          </cell>
        </row>
        <row r="299">
          <cell r="F299">
            <v>122478</v>
          </cell>
          <cell r="G299">
            <v>237256</v>
          </cell>
          <cell r="H299">
            <v>79644845000170</v>
          </cell>
          <cell r="I299" t="str">
            <v>FARMACIA DALILA LTDA</v>
          </cell>
          <cell r="J299" t="str">
            <v>LUCIA DELFINO DA ROSA</v>
          </cell>
          <cell r="K299">
            <v>0</v>
          </cell>
          <cell r="M299" t="str">
            <v>ESTACAO</v>
          </cell>
          <cell r="N299" t="str">
            <v>URUSSANGA</v>
          </cell>
          <cell r="O299" t="str">
            <v>SC</v>
          </cell>
          <cell r="Q299">
            <v>88840000</v>
          </cell>
          <cell r="R299">
            <v>170102220</v>
          </cell>
          <cell r="S299">
            <v>2</v>
          </cell>
          <cell r="T299">
            <v>2</v>
          </cell>
          <cell r="U299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299">
            <v>5.14</v>
          </cell>
          <cell r="W299">
            <v>0.1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5.14</v>
          </cell>
          <cell r="AC299">
            <v>0</v>
          </cell>
          <cell r="AD299">
            <v>0</v>
          </cell>
          <cell r="AE299" t="str">
            <v>Sim</v>
          </cell>
        </row>
        <row r="300">
          <cell r="F300">
            <v>122479</v>
          </cell>
          <cell r="G300">
            <v>237254</v>
          </cell>
          <cell r="H300">
            <v>13357925000136</v>
          </cell>
          <cell r="I300" t="str">
            <v>DROGARIA MANTOVANI DE TOCANTINS LTD</v>
          </cell>
          <cell r="J300" t="str">
            <v>DO ROSARIO</v>
          </cell>
          <cell r="K300">
            <v>0</v>
          </cell>
          <cell r="M300" t="str">
            <v>CENTRO</v>
          </cell>
          <cell r="N300" t="str">
            <v>TOCANTINS</v>
          </cell>
          <cell r="O300" t="str">
            <v>MG</v>
          </cell>
          <cell r="Q300">
            <v>36512000</v>
          </cell>
          <cell r="R300">
            <v>170102220</v>
          </cell>
          <cell r="S300">
            <v>2</v>
          </cell>
          <cell r="T300">
            <v>2</v>
          </cell>
          <cell r="U300" t="str">
            <v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300">
            <v>5.14</v>
          </cell>
          <cell r="W300">
            <v>0.1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5.14</v>
          </cell>
          <cell r="AC300">
            <v>0</v>
          </cell>
          <cell r="AD300">
            <v>0</v>
          </cell>
          <cell r="AE300" t="str">
            <v>Sim</v>
          </cell>
        </row>
        <row r="301">
          <cell r="F301">
            <v>122480</v>
          </cell>
          <cell r="G301">
            <v>237265</v>
          </cell>
          <cell r="H301">
            <v>92502210000104</v>
          </cell>
          <cell r="I301" t="str">
            <v>ERVATEIRA SEIVA PURA LTDA</v>
          </cell>
          <cell r="J301" t="str">
            <v>BR 285 KM 457</v>
          </cell>
          <cell r="K301">
            <v>0</v>
          </cell>
          <cell r="M301" t="str">
            <v>INTERIOR</v>
          </cell>
          <cell r="N301" t="str">
            <v>IJUI</v>
          </cell>
          <cell r="O301" t="str">
            <v>RS</v>
          </cell>
          <cell r="Q301">
            <v>98700000</v>
          </cell>
          <cell r="R301">
            <v>170102220</v>
          </cell>
          <cell r="S301">
            <v>2</v>
          </cell>
          <cell r="T301">
            <v>2</v>
          </cell>
          <cell r="U301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301">
            <v>222.45</v>
          </cell>
          <cell r="W301">
            <v>4.45</v>
          </cell>
          <cell r="X301">
            <v>0</v>
          </cell>
          <cell r="Y301">
            <v>1.45</v>
          </cell>
          <cell r="Z301">
            <v>6.67</v>
          </cell>
          <cell r="AA301">
            <v>2.2200000000000002</v>
          </cell>
          <cell r="AB301">
            <v>222.45</v>
          </cell>
          <cell r="AC301">
            <v>0</v>
          </cell>
          <cell r="AD301">
            <v>0</v>
          </cell>
          <cell r="AE301" t="str">
            <v>Sim</v>
          </cell>
        </row>
        <row r="302">
          <cell r="F302">
            <v>122481</v>
          </cell>
          <cell r="G302">
            <v>237268</v>
          </cell>
          <cell r="H302">
            <v>7061124000126</v>
          </cell>
          <cell r="I302" t="str">
            <v>CAMAQUA DISTRIBUIDORA LTDA</v>
          </cell>
          <cell r="J302" t="str">
            <v>CONEGO LUIZ WALTER HANQUET</v>
          </cell>
          <cell r="K302">
            <v>0</v>
          </cell>
          <cell r="M302" t="str">
            <v>PARQUE RESIDENCIAL DO ARROIO DURO</v>
          </cell>
          <cell r="N302" t="str">
            <v>CAMAQUA</v>
          </cell>
          <cell r="O302" t="str">
            <v>RS</v>
          </cell>
          <cell r="Q302">
            <v>96789102</v>
          </cell>
          <cell r="R302">
            <v>170102220</v>
          </cell>
          <cell r="S302">
            <v>2</v>
          </cell>
          <cell r="T302">
            <v>2</v>
          </cell>
          <cell r="U302" t="str">
            <v>AntiFraude: Transações: 21 - Tarifa: R$ 0,9400 - Total: R$ 19,74 (Período de apuração: 01/08/2026 à 31/08/2026) Vencimento: 19/09/2026 Brazilian Tax Information: Valor estimado dos tributos IBS e CBS, conforme disposto no art. 12 da Lei Complementar nº 214/2025 (Reforma Tributária sobre Consumo): R$0.20 (1%)</v>
          </cell>
          <cell r="V302">
            <v>20.14</v>
          </cell>
          <cell r="W302">
            <v>0.4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20.14</v>
          </cell>
          <cell r="AC302">
            <v>0</v>
          </cell>
          <cell r="AD302">
            <v>0</v>
          </cell>
          <cell r="AE302" t="str">
            <v>Sim</v>
          </cell>
        </row>
        <row r="303">
          <cell r="F303">
            <v>122482</v>
          </cell>
          <cell r="G303">
            <v>237257</v>
          </cell>
          <cell r="H303">
            <v>6336797000189</v>
          </cell>
          <cell r="I303" t="str">
            <v>A. F. COMERCIO DE LIVROS E CURSOS ESPECIALIZADOS LTDA</v>
          </cell>
          <cell r="J303" t="str">
            <v>PARANA</v>
          </cell>
          <cell r="K303">
            <v>0</v>
          </cell>
          <cell r="M303" t="str">
            <v>CENTRO</v>
          </cell>
          <cell r="N303" t="str">
            <v>LONDRINA</v>
          </cell>
          <cell r="O303" t="str">
            <v>PR</v>
          </cell>
          <cell r="Q303">
            <v>86010390</v>
          </cell>
          <cell r="R303">
            <v>170102220</v>
          </cell>
          <cell r="S303">
            <v>2</v>
          </cell>
          <cell r="T303">
            <v>2</v>
          </cell>
          <cell r="U303" t="str">
            <v>AntiFraude: Transações: 0 - Total: R$ 403,30 (Cobrança pelo mínimo mensal) (Período de apuração: 01/08/2026 à 31/08/2026) Vencimento: 19/09/2026 Brazilian Tax Information: Valor estimado dos tributos IBS e CBS, conforme disposto no art. 12 da Lei Complementar nº 214/2025 (Reforma Tributária sobre Consumo): R$4.12 (1%)</v>
          </cell>
          <cell r="V303">
            <v>411.53</v>
          </cell>
          <cell r="W303">
            <v>8.23</v>
          </cell>
          <cell r="X303">
            <v>0</v>
          </cell>
          <cell r="Y303">
            <v>2.67</v>
          </cell>
          <cell r="Z303">
            <v>12.35</v>
          </cell>
          <cell r="AA303">
            <v>4.12</v>
          </cell>
          <cell r="AB303">
            <v>411.53</v>
          </cell>
          <cell r="AC303">
            <v>0</v>
          </cell>
          <cell r="AD303">
            <v>0</v>
          </cell>
          <cell r="AE303" t="str">
            <v>Sim</v>
          </cell>
        </row>
        <row r="304">
          <cell r="F304">
            <v>122483</v>
          </cell>
          <cell r="G304">
            <v>237276</v>
          </cell>
          <cell r="H304">
            <v>40195401000169</v>
          </cell>
          <cell r="I304" t="str">
            <v>ALCHYMIST LAGOA ENCANTADA LTDA</v>
          </cell>
          <cell r="J304" t="str">
            <v>ANTONIO VICENTE DE NOJOSA</v>
          </cell>
          <cell r="K304">
            <v>0</v>
          </cell>
          <cell r="M304" t="str">
            <v>LAGOA DO BANANA</v>
          </cell>
          <cell r="N304" t="str">
            <v>CAUCAIA</v>
          </cell>
          <cell r="O304" t="str">
            <v>CE</v>
          </cell>
          <cell r="Q304">
            <v>61638110</v>
          </cell>
          <cell r="R304">
            <v>170102220</v>
          </cell>
          <cell r="S304">
            <v>2</v>
          </cell>
          <cell r="T304">
            <v>2</v>
          </cell>
          <cell r="U304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304">
            <v>222.45</v>
          </cell>
          <cell r="W304">
            <v>4.45</v>
          </cell>
          <cell r="X304">
            <v>0</v>
          </cell>
          <cell r="Y304">
            <v>1.45</v>
          </cell>
          <cell r="Z304">
            <v>6.67</v>
          </cell>
          <cell r="AA304">
            <v>2.2200000000000002</v>
          </cell>
          <cell r="AB304">
            <v>222.45</v>
          </cell>
          <cell r="AC304">
            <v>0</v>
          </cell>
          <cell r="AD304">
            <v>0</v>
          </cell>
          <cell r="AE304" t="str">
            <v>Sim</v>
          </cell>
        </row>
        <row r="305">
          <cell r="F305">
            <v>122484</v>
          </cell>
          <cell r="G305">
            <v>237279</v>
          </cell>
          <cell r="H305">
            <v>22913185000168</v>
          </cell>
          <cell r="I305" t="str">
            <v>ALCHYMIST PREHISTORIC PARK LTDA</v>
          </cell>
          <cell r="J305" t="str">
            <v>ANTONIO VICENTE DE NOJOSA</v>
          </cell>
          <cell r="K305">
            <v>0</v>
          </cell>
          <cell r="M305" t="str">
            <v>LAGOA DO BANANA</v>
          </cell>
          <cell r="N305" t="str">
            <v>CAUCAIA</v>
          </cell>
          <cell r="O305" t="str">
            <v>CE</v>
          </cell>
          <cell r="Q305">
            <v>61638110</v>
          </cell>
          <cell r="R305">
            <v>170102220</v>
          </cell>
          <cell r="S305">
            <v>2</v>
          </cell>
          <cell r="T305">
            <v>2</v>
          </cell>
          <cell r="U305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305">
            <v>222.45</v>
          </cell>
          <cell r="W305">
            <v>4.45</v>
          </cell>
          <cell r="X305">
            <v>0</v>
          </cell>
          <cell r="Y305">
            <v>1.45</v>
          </cell>
          <cell r="Z305">
            <v>6.67</v>
          </cell>
          <cell r="AA305">
            <v>2.2200000000000002</v>
          </cell>
          <cell r="AB305">
            <v>222.45</v>
          </cell>
          <cell r="AC305">
            <v>0</v>
          </cell>
          <cell r="AD305">
            <v>0</v>
          </cell>
          <cell r="AE305" t="str">
            <v>Sim</v>
          </cell>
        </row>
        <row r="306">
          <cell r="F306">
            <v>122485</v>
          </cell>
          <cell r="G306">
            <v>237274</v>
          </cell>
          <cell r="H306">
            <v>25618174000143</v>
          </cell>
          <cell r="I306" t="str">
            <v>CASA UNICA MATERIAIS PARA CONSTRUCALTDA</v>
          </cell>
          <cell r="J306" t="str">
            <v>PRESIDENTE CARLOS LUZ</v>
          </cell>
          <cell r="K306">
            <v>0</v>
          </cell>
          <cell r="M306" t="str">
            <v>APARECIDA SETIMA SECAO</v>
          </cell>
          <cell r="N306" t="str">
            <v>BELO HORIZONTE</v>
          </cell>
          <cell r="O306" t="str">
            <v>MG</v>
          </cell>
          <cell r="Q306">
            <v>31250810</v>
          </cell>
          <cell r="R306">
            <v>170102220</v>
          </cell>
          <cell r="S306">
            <v>2</v>
          </cell>
          <cell r="T306">
            <v>2</v>
          </cell>
          <cell r="U306" t="str">
            <v>AntiFraude: Transações: 0 - Total: R$ 4.000,00 (Cobrança pelo mínimo mensal) (Período de apuração: 01/08/2026 à 31/08/2026) Vencimento: 19/09/2026 Brazilian Tax Information: Valor estimado dos tributos IBS e CBS, conforme disposto no art. 12 da Lei Complementar nº 214/2025 (Reforma Tributária sobre Consumo): R$40.82 (1%)</v>
          </cell>
          <cell r="V306">
            <v>4081.63</v>
          </cell>
          <cell r="W306">
            <v>81.63</v>
          </cell>
          <cell r="X306">
            <v>61.22</v>
          </cell>
          <cell r="Y306">
            <v>26.53</v>
          </cell>
          <cell r="Z306">
            <v>122.45</v>
          </cell>
          <cell r="AA306">
            <v>40.82</v>
          </cell>
          <cell r="AB306">
            <v>4081.63</v>
          </cell>
          <cell r="AC306">
            <v>0</v>
          </cell>
          <cell r="AD306">
            <v>0</v>
          </cell>
          <cell r="AE306" t="str">
            <v>Sim</v>
          </cell>
        </row>
        <row r="307">
          <cell r="F307">
            <v>122486</v>
          </cell>
          <cell r="G307">
            <v>237258</v>
          </cell>
          <cell r="H307">
            <v>4917296000594</v>
          </cell>
          <cell r="I307" t="str">
            <v>AVIL TEXTIL LTDA</v>
          </cell>
          <cell r="J307" t="str">
            <v>AVENIDA CONSELHEIRO AGUIAR</v>
          </cell>
          <cell r="K307">
            <v>888</v>
          </cell>
          <cell r="M307" t="str">
            <v>BOA VIAGEM</v>
          </cell>
          <cell r="N307" t="str">
            <v>RECIFE</v>
          </cell>
          <cell r="O307" t="str">
            <v>PE</v>
          </cell>
          <cell r="Q307">
            <v>51011031</v>
          </cell>
          <cell r="R307">
            <v>170102220</v>
          </cell>
          <cell r="S307">
            <v>2</v>
          </cell>
          <cell r="T307">
            <v>2</v>
          </cell>
          <cell r="U307" t="str">
            <v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v>
          </cell>
          <cell r="V307">
            <v>222.45</v>
          </cell>
          <cell r="W307">
            <v>4.45</v>
          </cell>
          <cell r="X307">
            <v>0</v>
          </cell>
          <cell r="Y307">
            <v>1.45</v>
          </cell>
          <cell r="Z307">
            <v>6.67</v>
          </cell>
          <cell r="AA307">
            <v>2.2200000000000002</v>
          </cell>
          <cell r="AB307">
            <v>222.45</v>
          </cell>
          <cell r="AC307">
            <v>0</v>
          </cell>
          <cell r="AD307">
            <v>0</v>
          </cell>
          <cell r="AE307" t="str">
            <v>Sim</v>
          </cell>
        </row>
        <row r="308">
          <cell r="F308">
            <v>122487</v>
          </cell>
          <cell r="G308">
            <v>237270</v>
          </cell>
          <cell r="H308">
            <v>56148687000161</v>
          </cell>
          <cell r="I308" t="str">
            <v>FARMACIA BRESCIANI LTDA</v>
          </cell>
          <cell r="J308" t="str">
            <v>ANTONIO FREDERICO OZANAN</v>
          </cell>
          <cell r="K308">
            <v>0</v>
          </cell>
          <cell r="M308" t="str">
            <v>VILA NOVA</v>
          </cell>
          <cell r="N308" t="str">
            <v>CAPIVARI</v>
          </cell>
          <cell r="O308" t="str">
            <v>SP</v>
          </cell>
          <cell r="Q308">
            <v>13360000</v>
          </cell>
          <cell r="R308">
            <v>170102220</v>
          </cell>
          <cell r="S308">
            <v>2</v>
          </cell>
          <cell r="T308">
            <v>2</v>
          </cell>
          <cell r="U308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308">
            <v>5.14</v>
          </cell>
          <cell r="W308">
            <v>0.1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5.14</v>
          </cell>
          <cell r="AC308">
            <v>0</v>
          </cell>
          <cell r="AD308">
            <v>0</v>
          </cell>
          <cell r="AE308" t="str">
            <v>Sim</v>
          </cell>
        </row>
        <row r="309">
          <cell r="F309">
            <v>122488</v>
          </cell>
          <cell r="G309">
            <v>237271</v>
          </cell>
          <cell r="H309">
            <v>66380084000144</v>
          </cell>
          <cell r="I309" t="str">
            <v>BASIC &amp; CO LTDA</v>
          </cell>
          <cell r="J309" t="str">
            <v>DAS AMERICAS</v>
          </cell>
          <cell r="K309">
            <v>0</v>
          </cell>
          <cell r="M309" t="str">
            <v>BARRA DA TIJUCA</v>
          </cell>
          <cell r="N309" t="str">
            <v>RIO DE JANEIRO</v>
          </cell>
          <cell r="O309" t="str">
            <v>RJ</v>
          </cell>
          <cell r="Q309">
            <v>22640101</v>
          </cell>
          <cell r="R309">
            <v>170102220</v>
          </cell>
          <cell r="S309">
            <v>2</v>
          </cell>
          <cell r="T309">
            <v>2</v>
          </cell>
          <cell r="U309" t="str">
            <v>AntiFraude: Transações: 0 -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v>
          </cell>
          <cell r="V309">
            <v>556.12</v>
          </cell>
          <cell r="W309">
            <v>11.12</v>
          </cell>
          <cell r="X309">
            <v>0</v>
          </cell>
          <cell r="Y309">
            <v>3.61</v>
          </cell>
          <cell r="Z309">
            <v>16.68</v>
          </cell>
          <cell r="AA309">
            <v>5.56</v>
          </cell>
          <cell r="AB309">
            <v>556.12</v>
          </cell>
          <cell r="AC309">
            <v>0</v>
          </cell>
          <cell r="AD309">
            <v>0</v>
          </cell>
          <cell r="AE309" t="str">
            <v>Sim</v>
          </cell>
        </row>
        <row r="310">
          <cell r="F310">
            <v>122489</v>
          </cell>
          <cell r="G310">
            <v>237261</v>
          </cell>
          <cell r="H310">
            <v>97533479000163</v>
          </cell>
          <cell r="I310" t="str">
            <v>AQUABRAZIL OUTDOORS PESCA E NAUTICA</v>
          </cell>
          <cell r="J310" t="str">
            <v>CURITIBA PONTA GROSSA BR-277</v>
          </cell>
          <cell r="K310">
            <v>0</v>
          </cell>
          <cell r="M310" t="str">
            <v>ORLEANS</v>
          </cell>
          <cell r="N310" t="str">
            <v>CURITIBA</v>
          </cell>
          <cell r="O310" t="str">
            <v>PR</v>
          </cell>
          <cell r="Q310">
            <v>82305100</v>
          </cell>
          <cell r="R310">
            <v>170102220</v>
          </cell>
          <cell r="S310">
            <v>2</v>
          </cell>
          <cell r="T310">
            <v>2</v>
          </cell>
          <cell r="U310" t="str">
            <v>AntiFraude: Transações: 0 -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v>
          </cell>
          <cell r="V310">
            <v>191.84</v>
          </cell>
          <cell r="W310">
            <v>3.84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191.84</v>
          </cell>
          <cell r="AC310">
            <v>0</v>
          </cell>
          <cell r="AD310">
            <v>0</v>
          </cell>
          <cell r="AE310" t="str">
            <v>Sim</v>
          </cell>
        </row>
        <row r="311">
          <cell r="F311">
            <v>122490</v>
          </cell>
          <cell r="G311">
            <v>237263</v>
          </cell>
          <cell r="H311">
            <v>59387728000160</v>
          </cell>
          <cell r="I311" t="str">
            <v>ACB GIFTS E DECOR LTDA</v>
          </cell>
          <cell r="J311" t="str">
            <v>TERESINA</v>
          </cell>
          <cell r="K311">
            <v>0</v>
          </cell>
          <cell r="M311" t="str">
            <v>VILA BERTIOGA</v>
          </cell>
          <cell r="N311" t="str">
            <v>SAO PAULO</v>
          </cell>
          <cell r="O311" t="str">
            <v>SP</v>
          </cell>
          <cell r="Q311">
            <v>3185010</v>
          </cell>
          <cell r="R311">
            <v>170102220</v>
          </cell>
          <cell r="S311">
            <v>2</v>
          </cell>
          <cell r="T311">
            <v>2</v>
          </cell>
          <cell r="U311" t="str">
            <v>AntiFraude: Transações: 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v>
          </cell>
          <cell r="V311">
            <v>191.84</v>
          </cell>
          <cell r="W311">
            <v>3.84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191.84</v>
          </cell>
          <cell r="AC311">
            <v>0</v>
          </cell>
          <cell r="AD311">
            <v>0</v>
          </cell>
          <cell r="AE311" t="str">
            <v>Sim</v>
          </cell>
        </row>
        <row r="312">
          <cell r="F312">
            <v>122491</v>
          </cell>
          <cell r="G312">
            <v>237269</v>
          </cell>
          <cell r="H312">
            <v>42262943000132</v>
          </cell>
          <cell r="I312" t="str">
            <v>CHEFE DO BENEFICIO LTDA</v>
          </cell>
          <cell r="J312" t="str">
            <v>DAS ORQUIDEAS</v>
          </cell>
          <cell r="K312">
            <v>0</v>
          </cell>
          <cell r="M312" t="str">
            <v>CONDOMINIO CENTRO COMERCIAL ALPHAVILLE</v>
          </cell>
          <cell r="N312" t="str">
            <v>BARUERI</v>
          </cell>
          <cell r="O312" t="str">
            <v>SP</v>
          </cell>
          <cell r="Q312">
            <v>6453002</v>
          </cell>
          <cell r="R312">
            <v>170102220</v>
          </cell>
          <cell r="S312">
            <v>2</v>
          </cell>
          <cell r="T312">
            <v>2</v>
          </cell>
          <cell r="U312" t="str">
            <v>AntiFraude: Transações: 44 - Total: R$ 9.120,00 (Cobrança pelo mínimo mensal) (Período de apuração: 01/08/2026 à 31/08/2026) Vencimento: 19/09/2026 Brazilian Tax Information: Valor estimado dos tributos IBS e CBS, conforme disposto no art. 12 da Lei Complementar nº 214/2025 (Reforma Tributária sobre Consumo): R$93.06 (1%)</v>
          </cell>
          <cell r="V312">
            <v>9306.1200000000008</v>
          </cell>
          <cell r="W312">
            <v>186.12</v>
          </cell>
          <cell r="X312">
            <v>139.59</v>
          </cell>
          <cell r="Y312">
            <v>60.49</v>
          </cell>
          <cell r="Z312">
            <v>279.18</v>
          </cell>
          <cell r="AA312">
            <v>93.06</v>
          </cell>
          <cell r="AB312">
            <v>9306.1200000000008</v>
          </cell>
          <cell r="AC312">
            <v>0</v>
          </cell>
          <cell r="AD312">
            <v>0</v>
          </cell>
          <cell r="AE312" t="str">
            <v>Sim</v>
          </cell>
        </row>
        <row r="313">
          <cell r="F313">
            <v>122492</v>
          </cell>
          <cell r="G313">
            <v>237275</v>
          </cell>
          <cell r="H313">
            <v>17662691000191</v>
          </cell>
          <cell r="I313" t="str">
            <v>FERREIRA &amp; FERREIRA COMERCIO VAREJIDE PRODUTOS FARMACEUTICOS</v>
          </cell>
          <cell r="J313" t="str">
            <v>PROFESSORA LUCINDA BASTOS</v>
          </cell>
          <cell r="K313">
            <v>30</v>
          </cell>
          <cell r="M313" t="str">
            <v>JUNDIAPEBA</v>
          </cell>
          <cell r="N313" t="str">
            <v>MOGI DAS CRUZES</v>
          </cell>
          <cell r="O313" t="str">
            <v>SP</v>
          </cell>
          <cell r="Q313">
            <v>8752027</v>
          </cell>
          <cell r="R313">
            <v>170102220</v>
          </cell>
          <cell r="S313">
            <v>2</v>
          </cell>
          <cell r="T313">
            <v>2</v>
          </cell>
          <cell r="U313" t="str">
            <v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313">
            <v>5.14</v>
          </cell>
          <cell r="W313">
            <v>0.1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5.14</v>
          </cell>
          <cell r="AC313">
            <v>0</v>
          </cell>
          <cell r="AD313">
            <v>0</v>
          </cell>
          <cell r="AE313" t="str">
            <v>Sim</v>
          </cell>
        </row>
        <row r="314">
          <cell r="F314">
            <v>122493</v>
          </cell>
          <cell r="G314">
            <v>237278</v>
          </cell>
          <cell r="H314">
            <v>416968000101</v>
          </cell>
          <cell r="I314" t="str">
            <v>BANCO INTER S.A</v>
          </cell>
          <cell r="J314" t="str">
            <v>AV DO CONTORNO</v>
          </cell>
          <cell r="K314">
            <v>77</v>
          </cell>
          <cell r="L314" t="str">
            <v>AND 2-3</v>
          </cell>
          <cell r="M314" t="str">
            <v>LOURDES</v>
          </cell>
          <cell r="N314" t="str">
            <v>BELO HORI</v>
          </cell>
          <cell r="O314" t="str">
            <v>MG</v>
          </cell>
          <cell r="Q314">
            <v>30110051</v>
          </cell>
          <cell r="R314">
            <v>170102220</v>
          </cell>
          <cell r="S314">
            <v>2</v>
          </cell>
          <cell r="T314">
            <v>2</v>
          </cell>
          <cell r="U314" t="str">
            <v>AntiFraude: Transações: 0 - Total: R$ 7.200,00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R$73.47 (1%)</v>
          </cell>
          <cell r="V314">
            <v>7346.94</v>
          </cell>
          <cell r="W314">
            <v>146.94</v>
          </cell>
          <cell r="X314">
            <v>110.2</v>
          </cell>
          <cell r="Y314">
            <v>47.76</v>
          </cell>
          <cell r="Z314">
            <v>220.41</v>
          </cell>
          <cell r="AA314">
            <v>73.47</v>
          </cell>
          <cell r="AB314">
            <v>7346.94</v>
          </cell>
          <cell r="AC314">
            <v>0</v>
          </cell>
          <cell r="AD314">
            <v>0</v>
          </cell>
          <cell r="AE314" t="str">
            <v>Sim</v>
          </cell>
        </row>
        <row r="315">
          <cell r="F315">
            <v>122494</v>
          </cell>
          <cell r="G315">
            <v>237253</v>
          </cell>
          <cell r="H315">
            <v>8101083000117</v>
          </cell>
          <cell r="I315" t="str">
            <v>FARMACIA LAUTERT LTDA</v>
          </cell>
          <cell r="J315" t="str">
            <v>DO COMERCIO</v>
          </cell>
          <cell r="K315">
            <v>0</v>
          </cell>
          <cell r="M315" t="str">
            <v>CENTR0</v>
          </cell>
          <cell r="N315" t="str">
            <v>CONDOR</v>
          </cell>
          <cell r="O315" t="str">
            <v>RS</v>
          </cell>
          <cell r="Q315">
            <v>98290000</v>
          </cell>
          <cell r="R315">
            <v>170102220</v>
          </cell>
          <cell r="S315">
            <v>2</v>
          </cell>
          <cell r="T315">
            <v>2</v>
          </cell>
          <cell r="U315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315">
            <v>5.14</v>
          </cell>
          <cell r="W315">
            <v>0.1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5.14</v>
          </cell>
          <cell r="AC315">
            <v>0</v>
          </cell>
          <cell r="AD315">
            <v>0</v>
          </cell>
          <cell r="AE315" t="str">
            <v>Sim</v>
          </cell>
        </row>
        <row r="316">
          <cell r="F316">
            <v>122495</v>
          </cell>
          <cell r="G316">
            <v>236657</v>
          </cell>
          <cell r="H316">
            <v>1132478000138</v>
          </cell>
          <cell r="I316" t="str">
            <v>IRMAOS ANDREAZZA LTDA</v>
          </cell>
          <cell r="J316" t="str">
            <v>BOM PASTOR</v>
          </cell>
          <cell r="K316">
            <v>0</v>
          </cell>
          <cell r="M316" t="str">
            <v>KAISER</v>
          </cell>
          <cell r="N316" t="str">
            <v>CAXIAS DO SUL</v>
          </cell>
          <cell r="O316" t="str">
            <v>RS</v>
          </cell>
          <cell r="Q316">
            <v>95096150</v>
          </cell>
          <cell r="R316">
            <v>170102220</v>
          </cell>
          <cell r="S316">
            <v>2</v>
          </cell>
          <cell r="T316">
            <v>2</v>
          </cell>
          <cell r="U316" t="str">
            <v>Antifraude: Transações: 4 -Total: R$ 1.360,00 (Cobrança pelo minimo mensal) (Período de apuração: 01/08/2026 à 31/08/2026) Vencimento: 19/09/2026 Brazilian Tax Information: Valor estimado dos tributos IBS e CBS, conforme disposto no art. 12 da Lei Complementar nº 214/2025 (Reforma Tributária sobre Consumo): R$13.88 (1%)</v>
          </cell>
          <cell r="V316">
            <v>1387.76</v>
          </cell>
          <cell r="W316">
            <v>27.76</v>
          </cell>
          <cell r="X316">
            <v>20.82</v>
          </cell>
          <cell r="Y316">
            <v>9.02</v>
          </cell>
          <cell r="Z316">
            <v>41.63</v>
          </cell>
          <cell r="AA316">
            <v>13.88</v>
          </cell>
          <cell r="AB316">
            <v>1387.76</v>
          </cell>
          <cell r="AC316">
            <v>0</v>
          </cell>
          <cell r="AD316">
            <v>0</v>
          </cell>
          <cell r="AE316" t="str">
            <v>Sim</v>
          </cell>
        </row>
        <row r="317">
          <cell r="F317">
            <v>122496</v>
          </cell>
          <cell r="G317">
            <v>236658</v>
          </cell>
          <cell r="H317">
            <v>7221340000191</v>
          </cell>
          <cell r="I317" t="str">
            <v>LOWELL COSMETICOS DO BRASIL LTDA</v>
          </cell>
          <cell r="J317" t="str">
            <v>RUA DO CUBATAO</v>
          </cell>
          <cell r="K317">
            <v>552</v>
          </cell>
          <cell r="M317" t="str">
            <v>DO CUBATAO</v>
          </cell>
          <cell r="N317" t="str">
            <v>ITAPIRA</v>
          </cell>
          <cell r="O317" t="str">
            <v>SP</v>
          </cell>
          <cell r="Q317">
            <v>13972330</v>
          </cell>
          <cell r="R317">
            <v>170102220</v>
          </cell>
          <cell r="S317">
            <v>2</v>
          </cell>
          <cell r="T317">
            <v>2</v>
          </cell>
          <cell r="U317" t="str">
            <v>AntiFraude:  Transações: 613 - Tarifa - 0,7124- Total: R$ 436,70 (Período de apuração: 01/08/2026 à 31/08/2026) Vencimento: 26/09/2026 Brazilian Tax Information: Valor estimado dos tributos IBS e CBS, conforme disposto no art. 12 da Lei Complementar nº 214/2025 (Reforma Tributária sobre Consumo): R$4.46 (1%)</v>
          </cell>
          <cell r="V317">
            <v>445.61</v>
          </cell>
          <cell r="W317">
            <v>8.91</v>
          </cell>
          <cell r="X317">
            <v>0</v>
          </cell>
          <cell r="Y317">
            <v>2.9</v>
          </cell>
          <cell r="Z317">
            <v>13.37</v>
          </cell>
          <cell r="AA317">
            <v>4.46</v>
          </cell>
          <cell r="AB317">
            <v>445.61</v>
          </cell>
          <cell r="AC317">
            <v>0</v>
          </cell>
          <cell r="AD317">
            <v>0</v>
          </cell>
          <cell r="AE317" t="str">
            <v>Sim</v>
          </cell>
        </row>
        <row r="318">
          <cell r="F318">
            <v>122497</v>
          </cell>
          <cell r="G318">
            <v>236680</v>
          </cell>
          <cell r="H318">
            <v>9054385000144</v>
          </cell>
          <cell r="I318" t="str">
            <v>INBRANDS S.A</v>
          </cell>
          <cell r="J318" t="str">
            <v>AVENIDA MARIA COELHO AGUIAR</v>
          </cell>
          <cell r="K318">
            <v>215</v>
          </cell>
          <cell r="L318" t="str">
            <v>ANDAR 2 BL OCO C / E</v>
          </cell>
          <cell r="M318" t="str">
            <v>JARDIM SAO LUIS</v>
          </cell>
          <cell r="N318" t="str">
            <v>SAO PAULO</v>
          </cell>
          <cell r="O318" t="str">
            <v>SP</v>
          </cell>
          <cell r="Q318">
            <v>5804900</v>
          </cell>
          <cell r="R318">
            <v>170102220</v>
          </cell>
          <cell r="S318">
            <v>2</v>
          </cell>
          <cell r="T318">
            <v>2</v>
          </cell>
          <cell r="U318" t="str">
            <v>Analista de Risco: R$ 4.132,78 Credilink: 1 - Tarifa:  0,5220 - Total: R$ 0,52 Antifraude: 6062 - Total: R$ 5.502,49 (Cobrança pelo mínimo mensal) Análise Manual: 401 - Tarifa: 8,8539 - Total: R$ 3.550,41 (Período de apuração: 01/08/2026 à 31/08/2026) Vencimento: 11/10/2026 Brazilian Tax Information: Valor estimado dos tributos IBS e CBS, conforme disposto no art. 12 da Lei Complementar nº 214/2025 (Reforma Tributária sobre Consumo): R$42.17 (1%)</v>
          </cell>
          <cell r="V318">
            <v>13455.31</v>
          </cell>
          <cell r="W318">
            <v>269.11</v>
          </cell>
          <cell r="X318">
            <v>201.83</v>
          </cell>
          <cell r="Y318">
            <v>87.46</v>
          </cell>
          <cell r="Z318">
            <v>403.66</v>
          </cell>
          <cell r="AA318">
            <v>134.56</v>
          </cell>
          <cell r="AB318">
            <v>13455.31</v>
          </cell>
          <cell r="AC318">
            <v>0</v>
          </cell>
          <cell r="AD318">
            <v>0</v>
          </cell>
          <cell r="AE318" t="str">
            <v>Sim</v>
          </cell>
        </row>
        <row r="319">
          <cell r="F319">
            <v>122498</v>
          </cell>
          <cell r="G319">
            <v>236678</v>
          </cell>
          <cell r="H319">
            <v>15754475000140</v>
          </cell>
          <cell r="I319" t="str">
            <v>HOSTGATOR BRASIL LTDA.</v>
          </cell>
          <cell r="J319" t="str">
            <v>RUA LAURO LINHARES</v>
          </cell>
          <cell r="K319">
            <v>589</v>
          </cell>
          <cell r="L319" t="str">
            <v>ATICO</v>
          </cell>
          <cell r="M319" t="str">
            <v>TRINDADE</v>
          </cell>
          <cell r="N319" t="str">
            <v>FLORIANOPOLIS</v>
          </cell>
          <cell r="O319" t="str">
            <v>SC</v>
          </cell>
          <cell r="Q319">
            <v>88036001</v>
          </cell>
          <cell r="R319">
            <v>170102220</v>
          </cell>
          <cell r="S319">
            <v>2</v>
          </cell>
          <cell r="T319">
            <v>2</v>
          </cell>
          <cell r="U319" t="str">
            <v>Analista de Risco: R$ 4.807,11 Antifraude: 19469 - Total: R$ 7.601,05 (Cobrança pelo mínimo mensal) (Período de apuração: 01/08/2026 à 31/08/2026) Vencimento: 15/10/2026 Brazilian Tax Information: Valor estimado dos tributos IBS e CBS, conforme disposto no art. 12 da Lei Complementar nº 214/2025 (Reforma Tributária sobre Consumo): R$49.05 (1%)</v>
          </cell>
          <cell r="V319">
            <v>12661.38</v>
          </cell>
          <cell r="W319">
            <v>253.23</v>
          </cell>
          <cell r="X319">
            <v>189.92</v>
          </cell>
          <cell r="Y319">
            <v>82.3</v>
          </cell>
          <cell r="Z319">
            <v>379.85</v>
          </cell>
          <cell r="AA319">
            <v>126.61</v>
          </cell>
          <cell r="AB319">
            <v>12661.38</v>
          </cell>
          <cell r="AC319">
            <v>0</v>
          </cell>
          <cell r="AD319">
            <v>0</v>
          </cell>
          <cell r="AE319" t="str">
            <v>Sim</v>
          </cell>
        </row>
        <row r="320">
          <cell r="F320">
            <v>122499</v>
          </cell>
          <cell r="G320">
            <v>236676</v>
          </cell>
          <cell r="H320">
            <v>60922598000106</v>
          </cell>
          <cell r="I320" t="str">
            <v>MARINGA PASSAGENS E TURISMO LTDA</v>
          </cell>
          <cell r="J320" t="str">
            <v>ALAMEDA MADEIRA</v>
          </cell>
          <cell r="K320">
            <v>44</v>
          </cell>
          <cell r="L320" t="str">
            <v>ANDAR 2 LO JA 27 SAL</v>
          </cell>
          <cell r="M320" t="str">
            <v>ALPHAVILLE CENTRO INDUSTRIAL E EMPRESARI</v>
          </cell>
          <cell r="N320" t="str">
            <v>BARUERI</v>
          </cell>
          <cell r="O320" t="str">
            <v>SP</v>
          </cell>
          <cell r="Q320">
            <v>6454010</v>
          </cell>
          <cell r="R320">
            <v>170102220</v>
          </cell>
          <cell r="S320">
            <v>2</v>
          </cell>
          <cell r="T320">
            <v>2</v>
          </cell>
          <cell r="U320" t="str">
            <v>Antifraude: 6 - Total: R$ 414,62 (Cobrança pelo mínimo mensal) (Período de apuração: 01/08/2026 à 31/08/2026) Vencimento: 26/09/2026 Brazilian Tax Information: Valor estimado dos tributos IBS e CBS, conforme disposto no art. 12 da Lei Complementar nº 214/2025 (Reforma Tributária sobre Consumo): R$4.23 (1%)</v>
          </cell>
          <cell r="V320">
            <v>423.08</v>
          </cell>
          <cell r="W320">
            <v>8.4600000000000009</v>
          </cell>
          <cell r="X320">
            <v>0</v>
          </cell>
          <cell r="Y320">
            <v>2.75</v>
          </cell>
          <cell r="Z320">
            <v>12.69</v>
          </cell>
          <cell r="AA320">
            <v>4.2300000000000004</v>
          </cell>
          <cell r="AB320">
            <v>423.08</v>
          </cell>
          <cell r="AC320">
            <v>0</v>
          </cell>
          <cell r="AD320">
            <v>0</v>
          </cell>
          <cell r="AE320" t="str">
            <v>Sim</v>
          </cell>
        </row>
        <row r="321">
          <cell r="F321">
            <v>122500</v>
          </cell>
          <cell r="G321">
            <v>236665</v>
          </cell>
          <cell r="H321">
            <v>5159973004936</v>
          </cell>
          <cell r="I321" t="str">
            <v>HIPER CARIJOS LTDA.</v>
          </cell>
          <cell r="J321" t="str">
            <v>AVENIDA JUSCELINO KUBISTCHECK DE OLIVEIRA</v>
          </cell>
          <cell r="K321">
            <v>1828</v>
          </cell>
          <cell r="M321" t="str">
            <v>PERI - PERI</v>
          </cell>
          <cell r="N321" t="str">
            <v>CAPIM BRANCO</v>
          </cell>
          <cell r="O321" t="str">
            <v>MG</v>
          </cell>
          <cell r="Q321">
            <v>35730000</v>
          </cell>
          <cell r="R321">
            <v>170102220</v>
          </cell>
          <cell r="S321">
            <v>2</v>
          </cell>
          <cell r="T321">
            <v>2</v>
          </cell>
          <cell r="U321" t="str">
            <v>Analista de Risco: R$ 0,01 Antifraude: 18201 - Total: R$ 12.799,99 (Cobrança pelo mínimo mensal) Análise Manual Expressa: 35 - Tarifa: 9,2500 - Total: R$ 323,75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321">
            <v>13391.58</v>
          </cell>
          <cell r="W321">
            <v>267.83</v>
          </cell>
          <cell r="X321">
            <v>200.88</v>
          </cell>
          <cell r="Y321">
            <v>87.05</v>
          </cell>
          <cell r="Z321">
            <v>401.75</v>
          </cell>
          <cell r="AA321">
            <v>133.91</v>
          </cell>
          <cell r="AB321">
            <v>13391.58</v>
          </cell>
          <cell r="AC321">
            <v>0</v>
          </cell>
          <cell r="AD321">
            <v>0</v>
          </cell>
          <cell r="AE321" t="str">
            <v>Sim</v>
          </cell>
        </row>
        <row r="322">
          <cell r="F322">
            <v>122501</v>
          </cell>
          <cell r="G322">
            <v>236697</v>
          </cell>
          <cell r="H322">
            <v>43948405000169</v>
          </cell>
          <cell r="I322" t="str">
            <v>LUPO S.A.</v>
          </cell>
          <cell r="J322" t="str">
            <v>RODOVIA WASHINGTON LUIS</v>
          </cell>
          <cell r="K322" t="str">
            <v>SN</v>
          </cell>
          <cell r="L322" t="str">
            <v>KM 276,5 C XPST 22</v>
          </cell>
          <cell r="M322" t="str">
            <v>RECREIO CAMPESTRE IDANORMA</v>
          </cell>
          <cell r="N322" t="str">
            <v>ARARAQUARA</v>
          </cell>
          <cell r="O322" t="str">
            <v>SP</v>
          </cell>
          <cell r="Q322">
            <v>14803900</v>
          </cell>
          <cell r="R322">
            <v>170102220</v>
          </cell>
          <cell r="S322">
            <v>2</v>
          </cell>
          <cell r="T322">
            <v>2</v>
          </cell>
          <cell r="U322" t="str">
            <v>Analista de Risco: R$ 0,01 Antifraude: 9755 - Total: R$ 10.754,75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322">
            <v>10974.24</v>
          </cell>
          <cell r="W322">
            <v>219.48</v>
          </cell>
          <cell r="X322">
            <v>164.61</v>
          </cell>
          <cell r="Y322">
            <v>71.33</v>
          </cell>
          <cell r="Z322">
            <v>329.23</v>
          </cell>
          <cell r="AA322">
            <v>109.74</v>
          </cell>
          <cell r="AB322">
            <v>10974.24</v>
          </cell>
          <cell r="AC322">
            <v>0</v>
          </cell>
          <cell r="AD322">
            <v>0</v>
          </cell>
          <cell r="AE322" t="str">
            <v>Sim</v>
          </cell>
        </row>
        <row r="323">
          <cell r="F323">
            <v>122502</v>
          </cell>
          <cell r="G323">
            <v>236701</v>
          </cell>
          <cell r="H323">
            <v>11504448000169</v>
          </cell>
          <cell r="I323" t="str">
            <v>LABORATORIO DE FLORAIS E COSMETICOS JOEL ALEIXO LTDA</v>
          </cell>
          <cell r="J323" t="str">
            <v>ESTRADA VELHA DE COTIA</v>
          </cell>
          <cell r="K323">
            <v>631</v>
          </cell>
          <cell r="M323" t="str">
            <v>COTIA</v>
          </cell>
          <cell r="N323" t="str">
            <v>COTIA</v>
          </cell>
          <cell r="O323" t="str">
            <v>SP</v>
          </cell>
          <cell r="Q323">
            <v>6714360</v>
          </cell>
          <cell r="R323">
            <v>170102220</v>
          </cell>
          <cell r="S323">
            <v>2</v>
          </cell>
          <cell r="T323">
            <v>2</v>
          </cell>
          <cell r="U323" t="str">
            <v>Antifraude: 156 - Total: R$ 928,20 (Cobrança pelo mínimo mensal) (Período de apuração: 01/08/2026 à 31/08/2026) Vencimento: 26/09/2026 Brazilian Tax Information: Valor estimado dos tributos IBS e CBS, conforme disposto no art. 12 da Lei Complementar nº 214/2025 (Reforma Tributária sobre Consumo): R$9.47 (1%)</v>
          </cell>
          <cell r="V323">
            <v>947.14</v>
          </cell>
          <cell r="W323">
            <v>18.940000000000001</v>
          </cell>
          <cell r="X323">
            <v>14.21</v>
          </cell>
          <cell r="Y323">
            <v>6.16</v>
          </cell>
          <cell r="Z323">
            <v>28.41</v>
          </cell>
          <cell r="AA323">
            <v>9.4700000000000006</v>
          </cell>
          <cell r="AB323">
            <v>947.14</v>
          </cell>
          <cell r="AC323">
            <v>0</v>
          </cell>
          <cell r="AD323">
            <v>0</v>
          </cell>
          <cell r="AE323" t="str">
            <v>Sim</v>
          </cell>
        </row>
        <row r="324">
          <cell r="F324">
            <v>122503</v>
          </cell>
          <cell r="G324">
            <v>236713</v>
          </cell>
          <cell r="H324">
            <v>5217384000627</v>
          </cell>
          <cell r="I324" t="str">
            <v>H PLUS ADMINISTRACAO E HOTELARIA LTDA</v>
          </cell>
          <cell r="J324" t="str">
            <v>SETOR SETOR HOTELEIRO NORTE QUADRA</v>
          </cell>
          <cell r="K324">
            <v>5</v>
          </cell>
          <cell r="L324" t="str">
            <v>BLOCO D ED ATHOS BUL</v>
          </cell>
          <cell r="M324" t="str">
            <v>ASA NORTE</v>
          </cell>
          <cell r="N324" t="str">
            <v>BRASILIA</v>
          </cell>
          <cell r="O324" t="str">
            <v>DF</v>
          </cell>
          <cell r="Q324">
            <v>70705040</v>
          </cell>
          <cell r="R324">
            <v>170102220</v>
          </cell>
          <cell r="S324">
            <v>2</v>
          </cell>
          <cell r="T324">
            <v>2</v>
          </cell>
          <cell r="U324" t="str">
            <v>Antifraude: 54 - Total: R$ 129,62 (Cobrança pelo mínimo mensal) Análise Manual: 34 - Tarifa: 10,0184 - Total: R$ 340,63 (Período de apuração: 01/08/2026 à 31/08/2026) Vencimento: 26/09/2026 Brazilian Tax Information: Valor estimado dos tributos IBS e CBS, conforme disposto no art. 12 da Lei Complementar nº 214/2025 (Reforma Tributária sobre Consumo): R$1.32 (1%)</v>
          </cell>
          <cell r="V324">
            <v>479.85</v>
          </cell>
          <cell r="W324">
            <v>9.6</v>
          </cell>
          <cell r="X324">
            <v>0</v>
          </cell>
          <cell r="Y324">
            <v>3.12</v>
          </cell>
          <cell r="Z324">
            <v>14.4</v>
          </cell>
          <cell r="AA324">
            <v>4.8</v>
          </cell>
          <cell r="AB324">
            <v>479.85</v>
          </cell>
          <cell r="AC324">
            <v>0</v>
          </cell>
          <cell r="AD324">
            <v>0</v>
          </cell>
          <cell r="AE324" t="str">
            <v>Sim</v>
          </cell>
        </row>
        <row r="325">
          <cell r="F325">
            <v>122504</v>
          </cell>
          <cell r="G325">
            <v>236720</v>
          </cell>
          <cell r="H325">
            <v>1610917000502</v>
          </cell>
          <cell r="I325" t="str">
            <v>MOVEIS B P LTDA</v>
          </cell>
          <cell r="J325" t="str">
            <v>RUA CIRA GOMES SARAIVA</v>
          </cell>
          <cell r="K325">
            <v>198</v>
          </cell>
          <cell r="L325" t="str">
            <v>LETRA B</v>
          </cell>
          <cell r="M325" t="str">
            <v>COLONIA</v>
          </cell>
          <cell r="N325" t="str">
            <v>VISCONDE DO RIO BRANCO</v>
          </cell>
          <cell r="O325" t="str">
            <v>MG</v>
          </cell>
          <cell r="Q325">
            <v>36520000</v>
          </cell>
          <cell r="R325">
            <v>170102220</v>
          </cell>
          <cell r="S325">
            <v>2</v>
          </cell>
          <cell r="T325">
            <v>2</v>
          </cell>
          <cell r="U325" t="str">
            <v>Analista de Risco: R$ 0,01 Antifraude: 1415 - Total: R$ 5.520,73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325">
            <v>5633.41</v>
          </cell>
          <cell r="W325">
            <v>112.67</v>
          </cell>
          <cell r="X325">
            <v>84.5</v>
          </cell>
          <cell r="Y325">
            <v>36.619999999999997</v>
          </cell>
          <cell r="Z325">
            <v>169</v>
          </cell>
          <cell r="AA325">
            <v>56.33</v>
          </cell>
          <cell r="AB325">
            <v>5633.41</v>
          </cell>
          <cell r="AC325">
            <v>0</v>
          </cell>
          <cell r="AD325">
            <v>0</v>
          </cell>
          <cell r="AE325" t="str">
            <v>Sim</v>
          </cell>
        </row>
        <row r="326">
          <cell r="F326">
            <v>122505</v>
          </cell>
          <cell r="G326">
            <v>236747</v>
          </cell>
          <cell r="H326">
            <v>53045266000117</v>
          </cell>
          <cell r="I326" t="str">
            <v>JAD ZOGHEIB &amp; CIA LTDA</v>
          </cell>
          <cell r="J326" t="str">
            <v>AVENIDA GETULIO VARGAS</v>
          </cell>
          <cell r="K326">
            <v>3</v>
          </cell>
          <cell r="L326">
            <v>30</v>
          </cell>
          <cell r="M326" t="str">
            <v>JD ESTORIL</v>
          </cell>
          <cell r="N326" t="str">
            <v>BAURU</v>
          </cell>
          <cell r="O326" t="str">
            <v>SP</v>
          </cell>
          <cell r="Q326">
            <v>17018000</v>
          </cell>
          <cell r="R326">
            <v>170102220</v>
          </cell>
          <cell r="S326">
            <v>2</v>
          </cell>
          <cell r="T326">
            <v>2</v>
          </cell>
          <cell r="U326" t="str">
            <v>Analista de Risco: R$ 4.641,45 Antifraude: 6391 - Tarifa:  0,4377 - Total: R$ 2.797,34 (Período de apuração: 01/08/2026 à 31/08/2026) Vencimento: 26/09/2026 Brazilian Tax Information: Valor estimado dos tributos IBS e CBS, conforme disposto no art. 12 da Lei Complementar nº 214/2025 (Reforma Tributária sobre Consumo): R$47.36 (1%)</v>
          </cell>
          <cell r="V326">
            <v>7590.6</v>
          </cell>
          <cell r="W326">
            <v>151.81</v>
          </cell>
          <cell r="X326">
            <v>113.86</v>
          </cell>
          <cell r="Y326">
            <v>49.34</v>
          </cell>
          <cell r="Z326">
            <v>227.72</v>
          </cell>
          <cell r="AA326">
            <v>75.900000000000006</v>
          </cell>
          <cell r="AB326">
            <v>7590.6</v>
          </cell>
          <cell r="AC326">
            <v>0</v>
          </cell>
          <cell r="AD326">
            <v>0</v>
          </cell>
          <cell r="AE326" t="str">
            <v>Sim</v>
          </cell>
        </row>
        <row r="327">
          <cell r="F327">
            <v>122506</v>
          </cell>
          <cell r="G327">
            <v>236737</v>
          </cell>
          <cell r="H327">
            <v>1933725000286</v>
          </cell>
          <cell r="I327" t="str">
            <v>J C COMERCIO DE JOIAS E ARTIGOS PARA PRESENTES LTDA</v>
          </cell>
          <cell r="J327" t="str">
            <v>AVENIDA MAGALHAES DE CASTRO</v>
          </cell>
          <cell r="K327">
            <v>12000</v>
          </cell>
          <cell r="L327" t="str">
            <v>LOJA 27.1 PRIMEIRO P</v>
          </cell>
          <cell r="M327" t="str">
            <v>CIDADE JARDIM</v>
          </cell>
          <cell r="N327" t="str">
            <v>SAO PAULO</v>
          </cell>
          <cell r="O327" t="str">
            <v>SP</v>
          </cell>
          <cell r="Q327">
            <v>5676900</v>
          </cell>
          <cell r="R327">
            <v>170102220</v>
          </cell>
          <cell r="S327">
            <v>2</v>
          </cell>
          <cell r="T327">
            <v>2</v>
          </cell>
          <cell r="U327" t="str">
            <v>Analista de Risco: R$ 3.999,00 Antifraude: 13 - Total: R$ 210,00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R$40.81 (1%)</v>
          </cell>
          <cell r="V327">
            <v>4368.3100000000004</v>
          </cell>
          <cell r="W327">
            <v>87.37</v>
          </cell>
          <cell r="X327">
            <v>65.52</v>
          </cell>
          <cell r="Y327">
            <v>28.39</v>
          </cell>
          <cell r="Z327">
            <v>131.05000000000001</v>
          </cell>
          <cell r="AA327">
            <v>43.68</v>
          </cell>
          <cell r="AB327">
            <v>4368.3100000000004</v>
          </cell>
          <cell r="AC327">
            <v>0</v>
          </cell>
          <cell r="AD327">
            <v>0</v>
          </cell>
          <cell r="AE327" t="str">
            <v>Sim</v>
          </cell>
        </row>
        <row r="328">
          <cell r="F328">
            <v>122507</v>
          </cell>
          <cell r="G328">
            <v>236732</v>
          </cell>
          <cell r="H328">
            <v>5217384000546</v>
          </cell>
          <cell r="I328" t="str">
            <v>H PLUS ADMINISTRACAO E HOTELARIA LTDA</v>
          </cell>
          <cell r="J328" t="str">
            <v>SETOR HOTELEIRO NORTE QUADRA</v>
          </cell>
          <cell r="K328">
            <v>4</v>
          </cell>
          <cell r="L328" t="str">
            <v>BLOCO E CU LLINAN</v>
          </cell>
          <cell r="M328" t="str">
            <v>ASA NORTE</v>
          </cell>
          <cell r="N328" t="str">
            <v>BRASILIA</v>
          </cell>
          <cell r="O328" t="str">
            <v>DF</v>
          </cell>
          <cell r="Q328">
            <v>70704000</v>
          </cell>
          <cell r="R328">
            <v>170102220</v>
          </cell>
          <cell r="S328">
            <v>2</v>
          </cell>
          <cell r="T328">
            <v>2</v>
          </cell>
          <cell r="U328" t="str">
            <v>Antifraude: 27 - Total: R$ 131,70 (Cobrança pelo mínimo mensal) Análise Manual: 14 - Tarifa: 10,1812 - Total: R$ 142,54 (Período de apuração: 01/08/2026 à 31/08/2026) Vencimento: 26/09/2026 Brazilian Tax Information: Valor estimado dos tributos IBS e CBS, conforme disposto no art. 12 da Lei Complementar nº 214/2025 (Reforma Tributária sobre Consumo): R$1.34 (1%)</v>
          </cell>
          <cell r="V328">
            <v>279.83999999999997</v>
          </cell>
          <cell r="W328">
            <v>5.6</v>
          </cell>
          <cell r="X328">
            <v>0</v>
          </cell>
          <cell r="Y328">
            <v>1.82</v>
          </cell>
          <cell r="Z328">
            <v>8.39</v>
          </cell>
          <cell r="AA328">
            <v>2.79</v>
          </cell>
          <cell r="AB328">
            <v>279.83999999999997</v>
          </cell>
          <cell r="AC328">
            <v>0</v>
          </cell>
          <cell r="AD328">
            <v>0</v>
          </cell>
          <cell r="AE328" t="str">
            <v>Sim</v>
          </cell>
        </row>
        <row r="329">
          <cell r="F329">
            <v>122508</v>
          </cell>
          <cell r="G329">
            <v>236750</v>
          </cell>
          <cell r="H329">
            <v>44154079000180</v>
          </cell>
          <cell r="I329" t="str">
            <v>LION CORP EVENTOS LTDA</v>
          </cell>
          <cell r="J329" t="str">
            <v>RUA ESTADOS UNIDOS</v>
          </cell>
          <cell r="K329">
            <v>1765</v>
          </cell>
          <cell r="M329" t="str">
            <v>JARDIM AMERICA</v>
          </cell>
          <cell r="N329" t="str">
            <v>SAO PAULO</v>
          </cell>
          <cell r="O329" t="str">
            <v>SP</v>
          </cell>
          <cell r="Q329">
            <v>1427002</v>
          </cell>
          <cell r="R329">
            <v>170102220</v>
          </cell>
          <cell r="S329">
            <v>2</v>
          </cell>
          <cell r="T329">
            <v>2</v>
          </cell>
          <cell r="U329" t="str">
            <v>Analista de Risco: R$ 4.199,00 Antifraude: 1525 - Tarifa:  0,8127 - Total: R$ 1.239,37 (Período de apuração: 01/08/2026 à 31/08/2026) Vencimento: 26/09/2026 Brazilian Tax Information: Valor estimado dos tributos IBS e CBS, conforme disposto no art. 12 da Lei Complementar nº 214/2025 (Reforma Tributária sobre Consumo): R$42.85 (1%)</v>
          </cell>
          <cell r="V329">
            <v>5549.35</v>
          </cell>
          <cell r="W329">
            <v>110.99</v>
          </cell>
          <cell r="X329">
            <v>83.24</v>
          </cell>
          <cell r="Y329">
            <v>36.07</v>
          </cell>
          <cell r="Z329">
            <v>166.48</v>
          </cell>
          <cell r="AA329">
            <v>55.5</v>
          </cell>
          <cell r="AB329">
            <v>5549.35</v>
          </cell>
          <cell r="AC329">
            <v>0</v>
          </cell>
          <cell r="AD329">
            <v>0</v>
          </cell>
          <cell r="AE329" t="str">
            <v>Sim</v>
          </cell>
        </row>
        <row r="330">
          <cell r="F330">
            <v>122509</v>
          </cell>
          <cell r="G330">
            <v>236766</v>
          </cell>
          <cell r="H330">
            <v>5620609000187</v>
          </cell>
          <cell r="I330" t="str">
            <v>LAGOA THERMAS CLUBE, TURISMO, LAZER E ECOLOGIA</v>
          </cell>
          <cell r="J330" t="str">
            <v>AVENIDA LAGOA QUENTE</v>
          </cell>
          <cell r="K330" t="str">
            <v>S/N</v>
          </cell>
          <cell r="M330" t="str">
            <v>B. DA LAGOA QUENTE</v>
          </cell>
          <cell r="N330" t="str">
            <v>CALDAS NOVAS</v>
          </cell>
          <cell r="O330" t="str">
            <v>GO</v>
          </cell>
          <cell r="Q330">
            <v>75680001</v>
          </cell>
          <cell r="R330">
            <v>170102220</v>
          </cell>
          <cell r="S330">
            <v>2</v>
          </cell>
          <cell r="T330">
            <v>2</v>
          </cell>
          <cell r="U330" t="str">
            <v>Analista de Risco: R$ 3.633,77 Antifraude: 309 - Total: R$ 3.145,26 (Cobrança pelo mínimo mensal) Análise Manual Expressa: 21 - Tarifa: 8,3800 - Total: R$ 175,98 (Período de apuração: 01/08/2026 à 31/08/2026) Vencimento: 26/09/2026 Brazilian Tax Information: Valor estimado dos tributos IBS e CBS, conforme disposto no art. 12 da Lei Complementar nº 214/2025 (Reforma Tributária sobre Consumo): R$37.08 (1%)</v>
          </cell>
          <cell r="V330">
            <v>7096.95</v>
          </cell>
          <cell r="W330">
            <v>141.94</v>
          </cell>
          <cell r="X330">
            <v>106.45</v>
          </cell>
          <cell r="Y330">
            <v>46.13</v>
          </cell>
          <cell r="Z330">
            <v>212.91</v>
          </cell>
          <cell r="AA330">
            <v>70.97</v>
          </cell>
          <cell r="AB330">
            <v>7096.95</v>
          </cell>
          <cell r="AC330">
            <v>0</v>
          </cell>
          <cell r="AD330">
            <v>0</v>
          </cell>
          <cell r="AE330" t="str">
            <v>Sim</v>
          </cell>
        </row>
        <row r="331">
          <cell r="F331">
            <v>122510</v>
          </cell>
          <cell r="G331">
            <v>236794</v>
          </cell>
          <cell r="H331">
            <v>50948371000178</v>
          </cell>
          <cell r="I331" t="str">
            <v>IRMAOS BOA LTDA</v>
          </cell>
          <cell r="J331" t="str">
            <v>RUA MARILIA</v>
          </cell>
          <cell r="K331">
            <v>60</v>
          </cell>
          <cell r="M331" t="str">
            <v>VL HORTOLANDIA</v>
          </cell>
          <cell r="N331" t="str">
            <v>JUNDIAI</v>
          </cell>
          <cell r="O331" t="str">
            <v>SP</v>
          </cell>
          <cell r="Q331">
            <v>13214302</v>
          </cell>
          <cell r="R331">
            <v>170102220</v>
          </cell>
          <cell r="S331">
            <v>2</v>
          </cell>
          <cell r="T331">
            <v>2</v>
          </cell>
          <cell r="U331" t="str">
            <v>Antifraude: 4398 - Tarifa:  0,4698 - Total: R$ 2.066,18 Analista de risco será cobrado SMR (Período de apuração: 01/08/2026 à 31/08/2026) Vencimento: 03/10/2026 Brazilian Tax Information: Valor estimado dos tributos IBS e CBS, conforme disposto no art. 12 da Lei Complementar nº 214/2025 (Reforma Tributária sobre Consumo): R$21.08 (1%)</v>
          </cell>
          <cell r="V331">
            <v>2108.35</v>
          </cell>
          <cell r="W331">
            <v>42.17</v>
          </cell>
          <cell r="X331">
            <v>31.63</v>
          </cell>
          <cell r="Y331">
            <v>13.7</v>
          </cell>
          <cell r="Z331">
            <v>63.25</v>
          </cell>
          <cell r="AA331">
            <v>21.08</v>
          </cell>
          <cell r="AB331">
            <v>2108.35</v>
          </cell>
          <cell r="AC331">
            <v>0</v>
          </cell>
          <cell r="AD331">
            <v>0</v>
          </cell>
          <cell r="AE331" t="str">
            <v>Sim</v>
          </cell>
        </row>
        <row r="332">
          <cell r="F332">
            <v>122511</v>
          </cell>
          <cell r="G332">
            <v>236777</v>
          </cell>
          <cell r="H332">
            <v>29334079000179</v>
          </cell>
          <cell r="I332" t="str">
            <v>H PLUS HOTEIS LR LTDA</v>
          </cell>
          <cell r="J332" t="str">
            <v>AVENIDA CABO BRANCO</v>
          </cell>
          <cell r="K332">
            <v>1984</v>
          </cell>
          <cell r="M332" t="str">
            <v>CABO BRANCO</v>
          </cell>
          <cell r="N332" t="str">
            <v>JOAO PESSOA</v>
          </cell>
          <cell r="O332" t="str">
            <v>PB</v>
          </cell>
          <cell r="Q332">
            <v>58045010</v>
          </cell>
          <cell r="R332">
            <v>170102220</v>
          </cell>
          <cell r="S332">
            <v>2</v>
          </cell>
          <cell r="T332">
            <v>2</v>
          </cell>
          <cell r="U332" t="str">
            <v>Antifraude: 5 - Total: R$ 201,17 (Cobrança pelo mínimo mensal) Análise Manual Expressa: 3 - Tarifa: 9,9800 - Total: R$ 29,94 (Período de apuração: 01/08/2026 à 31/08/2026) Vencimento: 26/09/2026 Brazilian Tax Information: Valor estimado dos tributos IBS e CBS, conforme disposto no art. 12 da Lei Complementar nº 214/2025 (Reforma Tributária sobre Consumo): R$2.05 (1%)</v>
          </cell>
          <cell r="V332">
            <v>235.83</v>
          </cell>
          <cell r="W332">
            <v>4.72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235.83</v>
          </cell>
          <cell r="AC332">
            <v>0</v>
          </cell>
          <cell r="AD332">
            <v>0</v>
          </cell>
          <cell r="AE332" t="str">
            <v>Sim</v>
          </cell>
        </row>
        <row r="333">
          <cell r="F333">
            <v>122512</v>
          </cell>
          <cell r="G333">
            <v>236778</v>
          </cell>
          <cell r="H333">
            <v>5217384001437</v>
          </cell>
          <cell r="I333" t="str">
            <v>H PLUS ADMINISTRACAO E HOTELARIA LTDA</v>
          </cell>
          <cell r="J333" t="str">
            <v>AVENIDA MATO GROSSO</v>
          </cell>
          <cell r="K333">
            <v>4903</v>
          </cell>
          <cell r="M333" t="str">
            <v>CARANDA BOSQUE</v>
          </cell>
          <cell r="N333" t="str">
            <v>CAMPO GRANDE</v>
          </cell>
          <cell r="O333" t="str">
            <v>MS</v>
          </cell>
          <cell r="Q333">
            <v>79031000</v>
          </cell>
          <cell r="R333">
            <v>170102220</v>
          </cell>
          <cell r="S333">
            <v>2</v>
          </cell>
          <cell r="T333">
            <v>2</v>
          </cell>
          <cell r="U333" t="str">
            <v>Antifraude: 9 - Total: R$ 203,70 (Cobrança pelo mínimo mensal) Análise Manual Expressa: 6 - Tarifa: 9,9800 - Total: R$ 59,88 (Período de apuração: 01/08/2026 à 31/08/2026) Vencimento: 26/09/2026 Brazilian Tax Information: Valor estimado dos tributos IBS e CBS, conforme disposto no art. 12 da Lei Complementar nº 214/2025 (Reforma Tributária sobre Consumo): R$2.08 (1%)</v>
          </cell>
          <cell r="V333">
            <v>268.95999999999998</v>
          </cell>
          <cell r="W333">
            <v>5.38</v>
          </cell>
          <cell r="X333">
            <v>0</v>
          </cell>
          <cell r="Y333">
            <v>1.75</v>
          </cell>
          <cell r="Z333">
            <v>8.07</v>
          </cell>
          <cell r="AA333">
            <v>2.69</v>
          </cell>
          <cell r="AB333">
            <v>268.95999999999998</v>
          </cell>
          <cell r="AC333">
            <v>0</v>
          </cell>
          <cell r="AD333">
            <v>0</v>
          </cell>
          <cell r="AE333" t="str">
            <v>Sim</v>
          </cell>
        </row>
        <row r="334">
          <cell r="F334">
            <v>122513</v>
          </cell>
          <cell r="G334">
            <v>236790</v>
          </cell>
          <cell r="H334">
            <v>43783630000192</v>
          </cell>
          <cell r="I334" t="str">
            <v>IWS COMERCIO LTDA</v>
          </cell>
          <cell r="J334" t="str">
            <v>RUA SERRA DO ROLA MOCA</v>
          </cell>
          <cell r="K334">
            <v>315</v>
          </cell>
          <cell r="L334" t="str">
            <v>GALPAO9F</v>
          </cell>
          <cell r="M334" t="str">
            <v>DISTRITO INDUSTRIAL DO JATOBA</v>
          </cell>
          <cell r="N334" t="str">
            <v>BELO HORIZONTE</v>
          </cell>
          <cell r="O334" t="str">
            <v>MG</v>
          </cell>
          <cell r="Q334">
            <v>30668271</v>
          </cell>
          <cell r="R334">
            <v>170102220</v>
          </cell>
          <cell r="S334">
            <v>2</v>
          </cell>
          <cell r="T334">
            <v>2</v>
          </cell>
          <cell r="U334" t="str">
            <v>Emailage: 2991 - Tarifa:  0,3900 - Total: R$ 1.166,49 Antifraude: 2992 - Tarifa:  0,6500 - Total: R$ 1.944,80 Análise Manual Expressa: 455 - Tarifa: 10,2400 - Total: R$ 4.659,20 (Período de apuração: 01/08/2026 à 31/08/2026) Vencimento: 26/09/2026 Brazilian Tax Information: Valor estimado dos tributos IBS e CBS, conforme disposto no art. 12 da Lei Complementar nº 214/2025 (Reforma Tributária sobre Consumo): R$11.90 (1%)</v>
          </cell>
          <cell r="V334">
            <v>7929.08</v>
          </cell>
          <cell r="W334">
            <v>158.58000000000001</v>
          </cell>
          <cell r="X334">
            <v>118.93</v>
          </cell>
          <cell r="Y334">
            <v>51.54</v>
          </cell>
          <cell r="Z334">
            <v>237.87</v>
          </cell>
          <cell r="AA334">
            <v>79.28</v>
          </cell>
          <cell r="AB334">
            <v>7929.08</v>
          </cell>
          <cell r="AC334">
            <v>0</v>
          </cell>
          <cell r="AD334">
            <v>0</v>
          </cell>
          <cell r="AE334" t="str">
            <v>Sim</v>
          </cell>
        </row>
        <row r="335">
          <cell r="F335">
            <v>122514</v>
          </cell>
          <cell r="G335">
            <v>236788</v>
          </cell>
          <cell r="H335">
            <v>9267050000104</v>
          </cell>
          <cell r="I335" t="str">
            <v>MB COMERCIO DE MATERIAIS DE CONSTRUCAO LTDA</v>
          </cell>
          <cell r="J335" t="str">
            <v>AVENIDA ANTONIO SALES</v>
          </cell>
          <cell r="K335">
            <v>3410</v>
          </cell>
          <cell r="M335" t="str">
            <v>COCO</v>
          </cell>
          <cell r="N335" t="str">
            <v>FORTALEZA</v>
          </cell>
          <cell r="O335" t="str">
            <v>CE</v>
          </cell>
          <cell r="Q335">
            <v>60192165</v>
          </cell>
          <cell r="R335">
            <v>170102220</v>
          </cell>
          <cell r="S335">
            <v>2</v>
          </cell>
          <cell r="T335">
            <v>2</v>
          </cell>
          <cell r="U335" t="str">
            <v>Antifraude: 270 - Tarifa:  0,8500 - Total: R$ 229,50 (Período de apuração: 01/08/2026 à 31/08/2026) Vencimento: 26/09/2026 Brazilian Tax Information: Valor estimado dos tributos IBS e CBS, conforme disposto no art. 12 da Lei Complementar nº 214/2025 (Reforma Tributária sobre Consumo): R$2.34 (1%)</v>
          </cell>
          <cell r="V335">
            <v>234.18</v>
          </cell>
          <cell r="W335">
            <v>4.68</v>
          </cell>
          <cell r="X335">
            <v>0</v>
          </cell>
          <cell r="Y335">
            <v>1.52</v>
          </cell>
          <cell r="Z335">
            <v>7.03</v>
          </cell>
          <cell r="AA335">
            <v>2.34</v>
          </cell>
          <cell r="AB335">
            <v>234.18</v>
          </cell>
          <cell r="AC335">
            <v>0</v>
          </cell>
          <cell r="AD335">
            <v>0</v>
          </cell>
          <cell r="AE335" t="str">
            <v>Sim</v>
          </cell>
        </row>
        <row r="336">
          <cell r="F336">
            <v>122515</v>
          </cell>
          <cell r="G336">
            <v>236779</v>
          </cell>
          <cell r="H336">
            <v>46029724000169</v>
          </cell>
          <cell r="I336" t="str">
            <v>HIGA PRODUTOS ALIMENTICIOS LTDA</v>
          </cell>
          <cell r="J336" t="str">
            <v>RUA PEDRO STANCATO</v>
          </cell>
          <cell r="K336">
            <v>39</v>
          </cell>
          <cell r="L336" t="str">
            <v>: 163 / 23 3</v>
          </cell>
          <cell r="M336" t="str">
            <v>CHACARAS CAMPOS DOS AMARAIS</v>
          </cell>
          <cell r="N336" t="str">
            <v>CAMPINAS</v>
          </cell>
          <cell r="O336" t="str">
            <v>SP</v>
          </cell>
          <cell r="Q336">
            <v>13082050</v>
          </cell>
          <cell r="R336">
            <v>170102220</v>
          </cell>
          <cell r="S336">
            <v>2</v>
          </cell>
          <cell r="T336">
            <v>2</v>
          </cell>
          <cell r="U336" t="str">
            <v>Antifraude: 6 - Total: R$ 183,56 (Cobrança pelo mínimo mensal) Análise Manual Expressa: 6 - Tarifa: 9,9500 - Total: R$ 59,70 (Período de apuração: 01/08/2026 à 31/08/2026) Vencimento: 26/09/2026 Brazilian Tax Information: Valor estimado dos tributos IBS e CBS, conforme disposto no art. 12 da Lei Complementar nº 214/2025 (Reforma Tributária sobre Consumo): R$1.87 (1%)</v>
          </cell>
          <cell r="V336">
            <v>248.23</v>
          </cell>
          <cell r="W336">
            <v>4.96</v>
          </cell>
          <cell r="X336">
            <v>0</v>
          </cell>
          <cell r="Y336">
            <v>1.62</v>
          </cell>
          <cell r="Z336">
            <v>7.45</v>
          </cell>
          <cell r="AA336">
            <v>2.48</v>
          </cell>
          <cell r="AB336">
            <v>248.23</v>
          </cell>
          <cell r="AC336">
            <v>0</v>
          </cell>
          <cell r="AD336">
            <v>0</v>
          </cell>
          <cell r="AE336" t="str">
            <v>Sim</v>
          </cell>
        </row>
        <row r="337">
          <cell r="F337">
            <v>122516</v>
          </cell>
          <cell r="G337">
            <v>236787</v>
          </cell>
          <cell r="H337">
            <v>17086101000120</v>
          </cell>
          <cell r="I337" t="str">
            <v>LIDER FRANQUIAS E LICENCAS LTDA</v>
          </cell>
          <cell r="J337" t="str">
            <v>ALAMEDA XINGU</v>
          </cell>
          <cell r="K337">
            <v>512</v>
          </cell>
          <cell r="L337" t="str">
            <v>CONJ 1901 1902 1903</v>
          </cell>
          <cell r="M337" t="str">
            <v>ALPHAVILLE CENTRO INDUSTRIAL E EMPRESARI</v>
          </cell>
          <cell r="N337" t="str">
            <v>BARUERI</v>
          </cell>
          <cell r="O337" t="str">
            <v>SP</v>
          </cell>
          <cell r="Q337">
            <v>6455030</v>
          </cell>
          <cell r="R337">
            <v>170102220</v>
          </cell>
          <cell r="S337">
            <v>2</v>
          </cell>
          <cell r="T337">
            <v>2</v>
          </cell>
          <cell r="U337" t="str">
            <v>Analista de Risco: R$ 5.663,48 Antifraude: 18430 - Tarifa:  0,6471 - Total: R$ 11.926,05 PO#040686 (Período de apuração: 01/08/2026 à 31/08/2026) Vencimento: 26/09/2026 Brazilian Tax Information: Valor estimado dos tributos IBS e CBS, conforme disposto no art. 12 da Lei Complementar nº 214/2025 (Reforma Tributária sobre Consumo): R$57.79 (1%)</v>
          </cell>
          <cell r="V337">
            <v>17948.5</v>
          </cell>
          <cell r="W337">
            <v>358.97</v>
          </cell>
          <cell r="X337">
            <v>269.23</v>
          </cell>
          <cell r="Y337">
            <v>116.66</v>
          </cell>
          <cell r="Z337">
            <v>538.45000000000005</v>
          </cell>
          <cell r="AA337">
            <v>179.48</v>
          </cell>
          <cell r="AB337">
            <v>17948.5</v>
          </cell>
          <cell r="AC337">
            <v>0</v>
          </cell>
          <cell r="AD337">
            <v>0</v>
          </cell>
          <cell r="AE337" t="str">
            <v>Sim</v>
          </cell>
        </row>
        <row r="338">
          <cell r="F338">
            <v>122517</v>
          </cell>
          <cell r="G338">
            <v>236798</v>
          </cell>
          <cell r="H338">
            <v>83115048000172</v>
          </cell>
          <cell r="I338" t="str">
            <v>HOTEL GUMZ LTDA</v>
          </cell>
          <cell r="J338" t="str">
            <v>RUA 1200</v>
          </cell>
          <cell r="K338">
            <v>140</v>
          </cell>
          <cell r="M338" t="str">
            <v>CENTRO</v>
          </cell>
          <cell r="N338" t="str">
            <v>BALNEARIO CAMBORIU</v>
          </cell>
          <cell r="O338" t="str">
            <v>SC</v>
          </cell>
          <cell r="Q338">
            <v>88330549</v>
          </cell>
          <cell r="R338">
            <v>170102220</v>
          </cell>
          <cell r="S338">
            <v>2</v>
          </cell>
          <cell r="T338">
            <v>2</v>
          </cell>
          <cell r="U338" t="str">
            <v>Antifraude: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338">
            <v>202.04</v>
          </cell>
          <cell r="W338">
            <v>4.04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202.04</v>
          </cell>
          <cell r="AC338">
            <v>0</v>
          </cell>
          <cell r="AD338">
            <v>0</v>
          </cell>
          <cell r="AE338" t="str">
            <v>Sim</v>
          </cell>
        </row>
        <row r="339">
          <cell r="F339">
            <v>122518</v>
          </cell>
          <cell r="G339">
            <v>236793</v>
          </cell>
          <cell r="H339">
            <v>5217384001194</v>
          </cell>
          <cell r="I339" t="str">
            <v>H PLUS ADMINISTRACAO E HOTELARIA LTDA</v>
          </cell>
          <cell r="J339" t="str">
            <v>QUADRA SHN QUADRA 1</v>
          </cell>
          <cell r="K339" t="str">
            <v>SN</v>
          </cell>
          <cell r="L339" t="str">
            <v>CONJ A BLO CO F VISI</v>
          </cell>
          <cell r="M339" t="str">
            <v>ASA NORTE</v>
          </cell>
          <cell r="N339" t="str">
            <v>BRASILIA</v>
          </cell>
          <cell r="O339" t="str">
            <v>DF</v>
          </cell>
          <cell r="Q339">
            <v>70701000</v>
          </cell>
          <cell r="R339">
            <v>170102220</v>
          </cell>
          <cell r="S339">
            <v>2</v>
          </cell>
          <cell r="T339">
            <v>2</v>
          </cell>
          <cell r="U339" t="str">
            <v>Antifraude: 28 - Total: R$ 154,94 (Cobrança pelo mínimo mensal) Análise Manual Expressa: 19 - Tarifa: 10,1800 - Total: R$ 193,42 (Período de apuração: 01/08/2026 à 31/08/2026) Vencimento: 26/09/2026 Brazilian Tax Information: Valor estimado dos tributos IBS e CBS, conforme disposto no art. 12 da Lei Complementar nº 214/2025 (Reforma Tributária sobre Consumo): R$1.58 (1%)</v>
          </cell>
          <cell r="V339">
            <v>355.47</v>
          </cell>
          <cell r="W339">
            <v>7.11</v>
          </cell>
          <cell r="X339">
            <v>0</v>
          </cell>
          <cell r="Y339">
            <v>2.31</v>
          </cell>
          <cell r="Z339">
            <v>10.66</v>
          </cell>
          <cell r="AA339">
            <v>3.55</v>
          </cell>
          <cell r="AB339">
            <v>355.47</v>
          </cell>
          <cell r="AC339">
            <v>0</v>
          </cell>
          <cell r="AD339">
            <v>0</v>
          </cell>
          <cell r="AE339" t="str">
            <v>Sim</v>
          </cell>
        </row>
        <row r="340">
          <cell r="F340">
            <v>122519</v>
          </cell>
          <cell r="G340">
            <v>236776</v>
          </cell>
          <cell r="H340">
            <v>5217384001003</v>
          </cell>
          <cell r="I340" t="str">
            <v>H PLUS ADMINISTRACAO E HOTELARIA LTDA</v>
          </cell>
          <cell r="J340" t="str">
            <v>SETOR HOTELEIRO NORTE QUADRA</v>
          </cell>
          <cell r="K340">
            <v>1</v>
          </cell>
          <cell r="L340" t="str">
            <v>CONJ A BLO CO D COND</v>
          </cell>
          <cell r="M340" t="str">
            <v>ASA NORTE</v>
          </cell>
          <cell r="N340" t="str">
            <v>BRASILIA</v>
          </cell>
          <cell r="O340" t="str">
            <v>DF</v>
          </cell>
          <cell r="Q340">
            <v>70701000</v>
          </cell>
          <cell r="R340">
            <v>170102220</v>
          </cell>
          <cell r="S340">
            <v>2</v>
          </cell>
          <cell r="T340">
            <v>2</v>
          </cell>
          <cell r="U340" t="str">
            <v>Antifraude: 20 - Total: R$ 159,90 (Cobrança pelo mínimo mensal) Análise Manual: 10 - Tarifa: 10,5040 - Total: R$ 105,04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340">
            <v>270.33999999999997</v>
          </cell>
          <cell r="W340">
            <v>5.41</v>
          </cell>
          <cell r="X340">
            <v>0</v>
          </cell>
          <cell r="Y340">
            <v>1.76</v>
          </cell>
          <cell r="Z340">
            <v>8.11</v>
          </cell>
          <cell r="AA340">
            <v>2.7</v>
          </cell>
          <cell r="AB340">
            <v>270.33999999999997</v>
          </cell>
          <cell r="AC340">
            <v>0</v>
          </cell>
          <cell r="AD340">
            <v>0</v>
          </cell>
          <cell r="AE340" t="str">
            <v>Sim</v>
          </cell>
        </row>
        <row r="341">
          <cell r="F341">
            <v>122520</v>
          </cell>
          <cell r="G341">
            <v>236800</v>
          </cell>
          <cell r="H341">
            <v>5217384002085</v>
          </cell>
          <cell r="I341" t="str">
            <v>H PLUS ADMINISTRACAO E HOTELARIA LTDA</v>
          </cell>
          <cell r="J341" t="str">
            <v>QUADRA 204 SUL ALAMEDA 6 (ALAMEDA AZULAO)</v>
          </cell>
          <cell r="K341">
            <v>1</v>
          </cell>
          <cell r="L341" t="str">
            <v>EDIF PREMI UM FLAT R</v>
          </cell>
          <cell r="M341" t="str">
            <v>PLANO DIRETOR SUL</v>
          </cell>
          <cell r="N341" t="str">
            <v>PALMAS</v>
          </cell>
          <cell r="O341" t="str">
            <v>TO</v>
          </cell>
          <cell r="Q341">
            <v>77020498</v>
          </cell>
          <cell r="R341">
            <v>170102220</v>
          </cell>
          <cell r="S341">
            <v>2</v>
          </cell>
          <cell r="T341">
            <v>2</v>
          </cell>
          <cell r="U341" t="str">
            <v>Antifraude: 32 - Total: R$ 201,17 (Cobrança pelo mínimo mensal) Análise Manual Expressa: 18 - Tarifa: 10,1400 - Total: R$ 182,52 (Período de apuração: 01/08/2026 à 31/08/2026) Vencimento: 26/09/2026 Brazilian Tax Information: Valor estimado dos tributos IBS e CBS, conforme disposto no art. 12 da Lei Complementar nº 214/2025 (Reforma Tributária sobre Consumo): R$2.05 (1%)</v>
          </cell>
          <cell r="V341">
            <v>391.52</v>
          </cell>
          <cell r="W341">
            <v>7.83</v>
          </cell>
          <cell r="X341">
            <v>0</v>
          </cell>
          <cell r="Y341">
            <v>2.54</v>
          </cell>
          <cell r="Z341">
            <v>11.75</v>
          </cell>
          <cell r="AA341">
            <v>3.91</v>
          </cell>
          <cell r="AB341">
            <v>391.52</v>
          </cell>
          <cell r="AC341">
            <v>0</v>
          </cell>
          <cell r="AD341">
            <v>0</v>
          </cell>
          <cell r="AE341" t="str">
            <v>Sim</v>
          </cell>
        </row>
        <row r="342">
          <cell r="F342">
            <v>122521</v>
          </cell>
          <cell r="G342">
            <v>236799</v>
          </cell>
          <cell r="H342">
            <v>39275916000190</v>
          </cell>
          <cell r="I342" t="str">
            <v>INTERBIKE - INDUSTRIA COMERCIO E IMPORTACAO DE ARTIGOS ESPOR</v>
          </cell>
          <cell r="J342" t="str">
            <v>RUA ALFREDO MAMEDE</v>
          </cell>
          <cell r="K342">
            <v>240</v>
          </cell>
          <cell r="M342" t="str">
            <v>NOVO MONDUBIM</v>
          </cell>
          <cell r="N342" t="str">
            <v>FORTALEZA</v>
          </cell>
          <cell r="O342" t="str">
            <v>CE</v>
          </cell>
          <cell r="Q342">
            <v>60763806</v>
          </cell>
          <cell r="R342">
            <v>170102220</v>
          </cell>
          <cell r="S342">
            <v>2</v>
          </cell>
          <cell r="T342">
            <v>2</v>
          </cell>
          <cell r="U342" t="str">
            <v>Antifraude: 54 - Total: R$ 173,40 (Cobrança pelo mínimo mensal) Análise Manual Expressa: 30 - Tarifa: 11,9900 - Total: R$ 359,70 (Período de apuração: 01/08/2026 à 31/08/2026) Vencimento: 11/10/2026 Brazilian Tax Information: Valor estimado dos tributos IBS e CBS, conforme disposto no art. 12 da Lei Complementar nº 214/2025 (Reforma Tributária sobre Consumo): R$1.77 (1%)</v>
          </cell>
          <cell r="V342">
            <v>543.98</v>
          </cell>
          <cell r="W342">
            <v>10.88</v>
          </cell>
          <cell r="X342">
            <v>0</v>
          </cell>
          <cell r="Y342">
            <v>3.54</v>
          </cell>
          <cell r="Z342">
            <v>16.32</v>
          </cell>
          <cell r="AA342">
            <v>5.44</v>
          </cell>
          <cell r="AB342">
            <v>543.98</v>
          </cell>
          <cell r="AC342">
            <v>0</v>
          </cell>
          <cell r="AD342">
            <v>0</v>
          </cell>
          <cell r="AE342" t="str">
            <v>Sim</v>
          </cell>
        </row>
        <row r="343">
          <cell r="F343">
            <v>122522</v>
          </cell>
          <cell r="G343">
            <v>236791</v>
          </cell>
          <cell r="H343">
            <v>9204187000110</v>
          </cell>
          <cell r="I343" t="str">
            <v>LATAM DISTRIBUIDORA DE COSMETICOS LTDA</v>
          </cell>
          <cell r="J343" t="str">
            <v>AVENIDA BRIG FARIA LIMA</v>
          </cell>
          <cell r="K343">
            <v>3144</v>
          </cell>
          <cell r="L343" t="str">
            <v>ANDAR 3</v>
          </cell>
          <cell r="M343" t="str">
            <v>JARDIM PAULISTANO</v>
          </cell>
          <cell r="N343" t="str">
            <v>SAO PAULO</v>
          </cell>
          <cell r="O343" t="str">
            <v>SP</v>
          </cell>
          <cell r="Q343">
            <v>1451000</v>
          </cell>
          <cell r="R343">
            <v>170102220</v>
          </cell>
          <cell r="S343">
            <v>2</v>
          </cell>
          <cell r="T343">
            <v>2</v>
          </cell>
          <cell r="U343" t="str">
            <v>Antifraude: 75 - Total: R$ 610,52 (Cobrança pelo mínimo mensal) (Período de apuração: 01/08/2026 à 31/08/2026) Vencimento: 26/09/2026 Brazilian Tax Information: Valor estimado dos tributos IBS e CBS, conforme disposto no art. 12 da Lei Complementar nº 214/2025 (Reforma Tributária sobre Consumo): R$6.23 (1%)</v>
          </cell>
          <cell r="V343">
            <v>622.98</v>
          </cell>
          <cell r="W343">
            <v>12.46</v>
          </cell>
          <cell r="X343">
            <v>0</v>
          </cell>
          <cell r="Y343">
            <v>4.05</v>
          </cell>
          <cell r="Z343">
            <v>18.690000000000001</v>
          </cell>
          <cell r="AA343">
            <v>6.23</v>
          </cell>
          <cell r="AB343">
            <v>622.98</v>
          </cell>
          <cell r="AC343">
            <v>0</v>
          </cell>
          <cell r="AD343">
            <v>0</v>
          </cell>
          <cell r="AE343" t="str">
            <v>Sim</v>
          </cell>
        </row>
        <row r="344">
          <cell r="F344">
            <v>122523</v>
          </cell>
          <cell r="G344">
            <v>236797</v>
          </cell>
          <cell r="H344">
            <v>61136701000147</v>
          </cell>
          <cell r="I344" t="str">
            <v>JAHU BORRACHAS E AUTOPECAS LTDA</v>
          </cell>
          <cell r="J344" t="str">
            <v>RUA ROBERT BOSCH</v>
          </cell>
          <cell r="K344">
            <v>280</v>
          </cell>
          <cell r="M344" t="str">
            <v>BARRA FUNDA</v>
          </cell>
          <cell r="N344" t="str">
            <v>SAO PAULO</v>
          </cell>
          <cell r="O344" t="str">
            <v>SP</v>
          </cell>
          <cell r="Q344">
            <v>1141010</v>
          </cell>
          <cell r="R344">
            <v>170102220</v>
          </cell>
          <cell r="S344">
            <v>2</v>
          </cell>
          <cell r="T344">
            <v>2</v>
          </cell>
          <cell r="U344" t="str">
            <v>Antifraude: 52 - Total: R$ 167,65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v>
          </cell>
          <cell r="V344">
            <v>171.07</v>
          </cell>
          <cell r="W344">
            <v>3.42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171.07</v>
          </cell>
          <cell r="AC344">
            <v>0</v>
          </cell>
          <cell r="AD344">
            <v>0</v>
          </cell>
          <cell r="AE344" t="str">
            <v>Sim</v>
          </cell>
        </row>
        <row r="345">
          <cell r="F345">
            <v>122524</v>
          </cell>
          <cell r="G345">
            <v>236806</v>
          </cell>
          <cell r="H345">
            <v>31694545000179</v>
          </cell>
          <cell r="I345" t="str">
            <v>KEEPCARE EQUIPAMENTOS E PRODUTOS MEDICOS LTDA</v>
          </cell>
          <cell r="J345" t="str">
            <v>RUA DOMINGOS RODRIGUES</v>
          </cell>
          <cell r="K345">
            <v>417</v>
          </cell>
          <cell r="M345" t="str">
            <v>LAPA</v>
          </cell>
          <cell r="N345" t="str">
            <v>SAO PAULO</v>
          </cell>
          <cell r="O345" t="str">
            <v>SP</v>
          </cell>
          <cell r="Q345">
            <v>5075000</v>
          </cell>
          <cell r="R345">
            <v>170102220</v>
          </cell>
          <cell r="S345">
            <v>2</v>
          </cell>
          <cell r="T345">
            <v>2</v>
          </cell>
          <cell r="U345" t="str">
            <v>Antifraude: 3 - Total: R$ 311,59 (Cobrança pelo mínimo mensal) Análise Manual: 2 - Tarifa: 14,0841 - Total: R$ 28,17 (Período de apuração: 01/08/2026 à 31/08/2026) Vencimento: 26/09/2026 Brazilian Tax Information: Valor estimado dos tributos IBS e CBS, conforme disposto no art. 12 da Lei Complementar nº 214/2025 (Reforma Tributária sobre Consumo): R$3.18 (1%)</v>
          </cell>
          <cell r="V345">
            <v>346.69</v>
          </cell>
          <cell r="W345">
            <v>6.93</v>
          </cell>
          <cell r="X345">
            <v>0</v>
          </cell>
          <cell r="Y345">
            <v>2.2599999999999998</v>
          </cell>
          <cell r="Z345">
            <v>10.4</v>
          </cell>
          <cell r="AA345">
            <v>3.47</v>
          </cell>
          <cell r="AB345">
            <v>346.69</v>
          </cell>
          <cell r="AC345">
            <v>0</v>
          </cell>
          <cell r="AD345">
            <v>0</v>
          </cell>
          <cell r="AE345" t="str">
            <v>Sim</v>
          </cell>
        </row>
        <row r="346">
          <cell r="F346">
            <v>122525</v>
          </cell>
          <cell r="G346">
            <v>236803</v>
          </cell>
          <cell r="H346">
            <v>73431686001030</v>
          </cell>
          <cell r="I346" t="str">
            <v>KONTIK FRANSTUR VIAGENS E TURISMO LTDA</v>
          </cell>
          <cell r="J346" t="str">
            <v>AVENIDA PAULISTA</v>
          </cell>
          <cell r="K346">
            <v>37</v>
          </cell>
          <cell r="L346" t="str">
            <v>CONJ 181 E 182</v>
          </cell>
          <cell r="M346" t="str">
            <v>BELA VISTA</v>
          </cell>
          <cell r="N346" t="str">
            <v>SAO PAULO</v>
          </cell>
          <cell r="O346" t="str">
            <v>SP</v>
          </cell>
          <cell r="Q346">
            <v>1311902</v>
          </cell>
          <cell r="R346">
            <v>170102220</v>
          </cell>
          <cell r="S346">
            <v>2</v>
          </cell>
          <cell r="T346">
            <v>2</v>
          </cell>
          <cell r="U346" t="str">
            <v>Analista de Risco: R$ 18.918,85 Credilink: 7326 - Tarifa:  0,4055 - Total: R$ 2.970,69 Emailage: 7484 - Tarifa:  0,2624 - Total: R$ 1.963,80 Serviço de Validação de Dados: 7422 - Tarifa:  0,2530 - Total: R$ 1.877,77 Antifraude: 7500 - Total: R$ 9.209,03 (Cobrança pelo mínimo mensal) (Período de apuração: 01/08/2026 à 31/08/2026) Vencimento: 26/09/2026 Brazilian Tax Information: Valor estimado dos tributos IBS e CBS, conforme disposto no art. 12 da Lei Complementar nº 214/2025 (Reforma Tributária sobre Consumo): R$193.05 (1%)</v>
          </cell>
          <cell r="V346">
            <v>35653.21</v>
          </cell>
          <cell r="W346">
            <v>713.06</v>
          </cell>
          <cell r="X346">
            <v>534.79</v>
          </cell>
          <cell r="Y346">
            <v>231.74</v>
          </cell>
          <cell r="Z346">
            <v>1069.5999999999999</v>
          </cell>
          <cell r="AA346">
            <v>356.53</v>
          </cell>
          <cell r="AB346">
            <v>35653.21</v>
          </cell>
          <cell r="AC346">
            <v>0</v>
          </cell>
          <cell r="AD346">
            <v>0</v>
          </cell>
          <cell r="AE346" t="str">
            <v>Sim</v>
          </cell>
        </row>
        <row r="347">
          <cell r="F347">
            <v>122526</v>
          </cell>
          <cell r="G347">
            <v>236820</v>
          </cell>
          <cell r="H347">
            <v>38097638000165</v>
          </cell>
          <cell r="I347" t="str">
            <v>LARROUDE COMERCIO E EXPORTACAO DE CALCADOS LTDA.</v>
          </cell>
          <cell r="J347" t="str">
            <v>RUA DR AMANCIO DE CARVALHO</v>
          </cell>
          <cell r="K347">
            <v>182</v>
          </cell>
          <cell r="L347" t="str">
            <v>CONJ 16 DO ED. WIN W</v>
          </cell>
          <cell r="M347" t="str">
            <v>VILA MARIANA</v>
          </cell>
          <cell r="N347" t="str">
            <v>SAO PAULO</v>
          </cell>
          <cell r="O347" t="str">
            <v>SP</v>
          </cell>
          <cell r="Q347">
            <v>4012080</v>
          </cell>
          <cell r="R347">
            <v>170102220</v>
          </cell>
          <cell r="S347">
            <v>2</v>
          </cell>
          <cell r="T347">
            <v>2</v>
          </cell>
          <cell r="U347" t="str">
            <v>Analista de Risco: R$ 3.575,25 Antifraude: 9034 - Tarifa:  0,8580 - Total: R$ 7.751,17 (Período de apuração: 01/08/2026 à 31/08/2026) Vencimento: 26/09/2026 Brazilian Tax Information: Valor estimado dos tributos IBS e CBS, conforme disposto no art. 12 da Lei Complementar nº 214/2025 (Reforma Tributária sobre Consumo): R$36.48 (1%)</v>
          </cell>
          <cell r="V347">
            <v>11557.57</v>
          </cell>
          <cell r="W347">
            <v>231.15</v>
          </cell>
          <cell r="X347">
            <v>173.36</v>
          </cell>
          <cell r="Y347">
            <v>75.12</v>
          </cell>
          <cell r="Z347">
            <v>346.73</v>
          </cell>
          <cell r="AA347">
            <v>115.57</v>
          </cell>
          <cell r="AB347">
            <v>11557.57</v>
          </cell>
          <cell r="AC347">
            <v>0</v>
          </cell>
          <cell r="AD347">
            <v>0</v>
          </cell>
          <cell r="AE347" t="str">
            <v>Sim</v>
          </cell>
        </row>
        <row r="348">
          <cell r="F348">
            <v>122527</v>
          </cell>
          <cell r="G348">
            <v>236805</v>
          </cell>
          <cell r="H348">
            <v>64422892000100</v>
          </cell>
          <cell r="I348" t="str">
            <v>LIDER INDUSTRIA E COMERCIO DE ESTOFADOS S/A</v>
          </cell>
          <cell r="J348" t="str">
            <v>RUA PRESIDENTE TANCREDO DE ALMEIDA NEVES</v>
          </cell>
          <cell r="K348">
            <v>1041</v>
          </cell>
          <cell r="L348" t="str">
            <v>LOTE AREA B-1</v>
          </cell>
          <cell r="M348" t="str">
            <v>BONFIM</v>
          </cell>
          <cell r="N348" t="str">
            <v>CARMO DO CAJURU</v>
          </cell>
          <cell r="O348" t="str">
            <v>MG</v>
          </cell>
          <cell r="Q348">
            <v>35557000</v>
          </cell>
          <cell r="R348">
            <v>170102220</v>
          </cell>
          <cell r="S348">
            <v>2</v>
          </cell>
          <cell r="T348">
            <v>2</v>
          </cell>
          <cell r="U348" t="str">
            <v>Analista de Risco: R$ 3.800,00 Antifraude: 3 - Total: R$ 450,00 (Cobrança pelo mínimo mensal) (Período de apuração: 01/08/2026 à 31/08/2026) Vencimento: 26/09/2026 Brazilian Tax Information: Valor estimado dos tributos IBS e CBS, conforme disposto no art. 12 da Lei Complementar nº 214/2025 (Reforma Tributária sobre Consumo): R$38.78 (1%)</v>
          </cell>
          <cell r="V348">
            <v>4336.7299999999996</v>
          </cell>
          <cell r="W348">
            <v>86.73</v>
          </cell>
          <cell r="X348">
            <v>65.05</v>
          </cell>
          <cell r="Y348">
            <v>28.18</v>
          </cell>
          <cell r="Z348">
            <v>130.11000000000001</v>
          </cell>
          <cell r="AA348">
            <v>43.37</v>
          </cell>
          <cell r="AB348">
            <v>4336.7299999999996</v>
          </cell>
          <cell r="AC348">
            <v>0</v>
          </cell>
          <cell r="AD348">
            <v>0</v>
          </cell>
          <cell r="AE348" t="str">
            <v>Sim</v>
          </cell>
        </row>
        <row r="349">
          <cell r="F349">
            <v>122528</v>
          </cell>
          <cell r="G349">
            <v>236813</v>
          </cell>
          <cell r="H349">
            <v>82132556000791</v>
          </cell>
          <cell r="I349" t="str">
            <v>LOJAS ADELINO LTDA</v>
          </cell>
          <cell r="J349" t="str">
            <v>RUA ERNESTO LODETTI</v>
          </cell>
          <cell r="K349">
            <v>341</v>
          </cell>
          <cell r="L349" t="str">
            <v>PAVLH 1</v>
          </cell>
          <cell r="M349" t="str">
            <v>CIDADE ALTA</v>
          </cell>
          <cell r="N349" t="str">
            <v>TURVO</v>
          </cell>
          <cell r="O349" t="str">
            <v>SC</v>
          </cell>
          <cell r="Q349">
            <v>88930000</v>
          </cell>
          <cell r="R349">
            <v>170102220</v>
          </cell>
          <cell r="S349">
            <v>2</v>
          </cell>
          <cell r="T349">
            <v>2</v>
          </cell>
          <cell r="U349" t="str">
            <v>Antifraude: 12 - Total: R$ 127,76 (Cobrança pelo mínimo mensal) Análise Manual: 1 - Tarifa: 9,1230 - Total: R$ 9,12 (Período de apuração: 01/08/2026 à 31/08/2026) Vencimento: 26/09/2026 Brazilian Tax Information: Valor estimado dos tributos IBS e CBS, conforme disposto no art. 12 da Lei Complementar nº 214/2025 (Reforma Tributária sobre Consumo): R$1.30 (1%)</v>
          </cell>
          <cell r="V349">
            <v>139.68</v>
          </cell>
          <cell r="W349">
            <v>2.79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139.68</v>
          </cell>
          <cell r="AC349">
            <v>0</v>
          </cell>
          <cell r="AD349">
            <v>0</v>
          </cell>
          <cell r="AE349" t="str">
            <v>Sim</v>
          </cell>
        </row>
        <row r="350">
          <cell r="F350">
            <v>122529</v>
          </cell>
          <cell r="G350">
            <v>236804</v>
          </cell>
          <cell r="H350">
            <v>45213626000114</v>
          </cell>
          <cell r="I350" t="str">
            <v>JAMES BARBOSA &amp; CIA LTDA</v>
          </cell>
          <cell r="J350" t="str">
            <v>AVENIDA SIQUEIRA CAMPOS</v>
          </cell>
          <cell r="K350">
            <v>51</v>
          </cell>
          <cell r="M350" t="str">
            <v>CENTRO</v>
          </cell>
          <cell r="N350" t="str">
            <v>JACAREI</v>
          </cell>
          <cell r="O350" t="str">
            <v>SP</v>
          </cell>
          <cell r="Q350">
            <v>12308190</v>
          </cell>
          <cell r="R350">
            <v>170102220</v>
          </cell>
          <cell r="S350">
            <v>2</v>
          </cell>
          <cell r="T350">
            <v>2</v>
          </cell>
          <cell r="U350" t="str">
            <v>Antifraude: 10 - Total: R$ 234,31 (Cobrança pelo mínimo mensal) Análise Manual Expressa: 7 - Tarifa: 8,8000 - Total: R$ 61,60 (Período de apuração: 01/08/2026 à 31/08/2026) Vencimento: 26/09/2026 Brazilian Tax Information: Valor estimado dos tributos IBS e CBS, conforme disposto no art. 12 da Lei Complementar nº 214/2025 (Reforma Tributária sobre Consumo): R$2.39 (1%)</v>
          </cell>
          <cell r="V350">
            <v>301.95</v>
          </cell>
          <cell r="W350">
            <v>6.04</v>
          </cell>
          <cell r="X350">
            <v>0</v>
          </cell>
          <cell r="Y350">
            <v>1.96</v>
          </cell>
          <cell r="Z350">
            <v>9.06</v>
          </cell>
          <cell r="AA350">
            <v>3.02</v>
          </cell>
          <cell r="AB350">
            <v>301.95</v>
          </cell>
          <cell r="AC350">
            <v>0</v>
          </cell>
          <cell r="AD350">
            <v>0</v>
          </cell>
          <cell r="AE350" t="str">
            <v>Sim</v>
          </cell>
        </row>
        <row r="351">
          <cell r="F351">
            <v>122530</v>
          </cell>
          <cell r="G351">
            <v>236822</v>
          </cell>
          <cell r="H351">
            <v>81101495000147</v>
          </cell>
          <cell r="I351" t="str">
            <v>ILHA DO SOL AGENCIA DE VIAGENS LTDA</v>
          </cell>
          <cell r="J351" t="str">
            <v>RODOVIA DAS CATARATAS</v>
          </cell>
          <cell r="K351" t="str">
            <v>SN</v>
          </cell>
          <cell r="L351" t="str">
            <v>KM 25</v>
          </cell>
          <cell r="M351" t="str">
            <v>PARQUE NACIONAL DO IGUACU</v>
          </cell>
          <cell r="N351" t="str">
            <v>FOZ DO IGUACU</v>
          </cell>
          <cell r="O351" t="str">
            <v>PR</v>
          </cell>
          <cell r="Q351">
            <v>85853000</v>
          </cell>
          <cell r="R351">
            <v>170102220</v>
          </cell>
          <cell r="S351">
            <v>2</v>
          </cell>
          <cell r="T351">
            <v>2</v>
          </cell>
          <cell r="U351" t="str">
            <v>Analista de Risco: R$ 0,01 Emailage: 1105 - Tarifa:  0,5465 - Total: R$ 603,88 Antifraude: 1110 - Total: R$ 6.887,07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351">
            <v>7643.83</v>
          </cell>
          <cell r="W351">
            <v>152.88</v>
          </cell>
          <cell r="X351">
            <v>114.65</v>
          </cell>
          <cell r="Y351">
            <v>49.69</v>
          </cell>
          <cell r="Z351">
            <v>229.32</v>
          </cell>
          <cell r="AA351">
            <v>76.44</v>
          </cell>
          <cell r="AB351">
            <v>7643.83</v>
          </cell>
          <cell r="AC351">
            <v>0</v>
          </cell>
          <cell r="AD351">
            <v>0</v>
          </cell>
          <cell r="AE351" t="str">
            <v>Sim</v>
          </cell>
        </row>
        <row r="352">
          <cell r="F352">
            <v>122531</v>
          </cell>
          <cell r="G352">
            <v>236816</v>
          </cell>
          <cell r="H352">
            <v>26786813000142</v>
          </cell>
          <cell r="I352" t="str">
            <v>MADEIRANIT PARTICIPACOES S/A</v>
          </cell>
          <cell r="J352" t="str">
            <v>RODOVIA ANHANGUERA</v>
          </cell>
          <cell r="K352" t="str">
            <v>S/N</v>
          </cell>
          <cell r="L352" t="str">
            <v>KM 186 SAL A 02</v>
          </cell>
          <cell r="M352" t="str">
            <v>JARDIM NOVA LEME</v>
          </cell>
          <cell r="N352" t="str">
            <v>LEME</v>
          </cell>
          <cell r="O352" t="str">
            <v>SP</v>
          </cell>
          <cell r="Q352">
            <v>13612200</v>
          </cell>
          <cell r="R352">
            <v>170102220</v>
          </cell>
          <cell r="S352">
            <v>2</v>
          </cell>
          <cell r="T352">
            <v>2</v>
          </cell>
          <cell r="U352" t="str">
            <v>Analista de Risco: R$ 4.386,23 Credilink: 301 - Tarifa:  0,5484 - Total: R$ 165,07 Emailage: 311 - Tarifa:  0,5484 - Total: R$ 170,55 Serviço de Validação de Dados: 239 - Tarifa:  0,5484 - Total: R$ 131,07 Antifraude: 311 - Total: R$ 314,56 (Cobrança pelo mínimo mensal) (Período de apuração: 01/08/2026 à 31/08/2026) Vencimento: 26/09/2026 Brazilian Tax Information: Valor estimado dos tributos IBS e CBS, conforme disposto no art. 12 da Lei Complementar nº 214/2025 (Reforma Tributária sobre Consumo): R$44.76 (1%)</v>
          </cell>
          <cell r="V352">
            <v>5272.94</v>
          </cell>
          <cell r="W352">
            <v>105.46</v>
          </cell>
          <cell r="X352">
            <v>79.099999999999994</v>
          </cell>
          <cell r="Y352">
            <v>34.270000000000003</v>
          </cell>
          <cell r="Z352">
            <v>158.18</v>
          </cell>
          <cell r="AA352">
            <v>52.73</v>
          </cell>
          <cell r="AB352">
            <v>5272.94</v>
          </cell>
          <cell r="AC352">
            <v>0</v>
          </cell>
          <cell r="AD352">
            <v>0</v>
          </cell>
          <cell r="AE352" t="str">
            <v>Sim</v>
          </cell>
        </row>
        <row r="353">
          <cell r="F353">
            <v>122532</v>
          </cell>
          <cell r="G353">
            <v>236807</v>
          </cell>
          <cell r="H353">
            <v>14773721000149</v>
          </cell>
          <cell r="I353" t="str">
            <v>MALAI MANSO HOTEL RESORT S.A.</v>
          </cell>
          <cell r="J353" t="str">
            <v>FAZENDA MORRO DO CHAPEU</v>
          </cell>
          <cell r="K353" t="str">
            <v>S N</v>
          </cell>
          <cell r="M353" t="str">
            <v>LAGO DE MANSO</v>
          </cell>
          <cell r="N353" t="str">
            <v>CHAPADA DOS GUIMARAES</v>
          </cell>
          <cell r="O353" t="str">
            <v>MT</v>
          </cell>
          <cell r="Q353">
            <v>78195000</v>
          </cell>
          <cell r="R353">
            <v>170102220</v>
          </cell>
          <cell r="S353">
            <v>2</v>
          </cell>
          <cell r="T353">
            <v>2</v>
          </cell>
          <cell r="U353" t="str">
            <v>Analista de Risco: R$ 3.777,82 Antifraude: 523 - Tarifa:  0,9121 - Total: R$ 477,03 (Período de apuração: 01/08/2026 à 31/08/2026) Vencimento: 26/09/2026 Brazilian Tax Information: Valor estimado dos tributos IBS e CBS, conforme disposto no art. 12 da Lei Complementar nº 214/2025 (Reforma Tributária sobre Consumo): R$38.55 (1%)</v>
          </cell>
          <cell r="V353">
            <v>4341.6899999999996</v>
          </cell>
          <cell r="W353">
            <v>86.83</v>
          </cell>
          <cell r="X353">
            <v>65.12</v>
          </cell>
          <cell r="Y353">
            <v>28.22</v>
          </cell>
          <cell r="Z353">
            <v>130.25</v>
          </cell>
          <cell r="AA353">
            <v>43.42</v>
          </cell>
          <cell r="AB353">
            <v>4341.6899999999996</v>
          </cell>
          <cell r="AC353">
            <v>0</v>
          </cell>
          <cell r="AD353">
            <v>0</v>
          </cell>
          <cell r="AE353" t="str">
            <v>Sim</v>
          </cell>
        </row>
        <row r="354">
          <cell r="F354">
            <v>122533</v>
          </cell>
          <cell r="G354">
            <v>236818</v>
          </cell>
          <cell r="H354">
            <v>34917011000152</v>
          </cell>
          <cell r="I354" t="str">
            <v>M.R.P. ATELIER LTDA</v>
          </cell>
          <cell r="J354" t="str">
            <v>RUA PAIS LEME</v>
          </cell>
          <cell r="K354">
            <v>215</v>
          </cell>
          <cell r="L354" t="str">
            <v>CONJ 912</v>
          </cell>
          <cell r="M354" t="str">
            <v>PINHEIROS</v>
          </cell>
          <cell r="N354" t="str">
            <v>SAO PAULO</v>
          </cell>
          <cell r="O354" t="str">
            <v>SP</v>
          </cell>
          <cell r="Q354">
            <v>5424150</v>
          </cell>
          <cell r="R354">
            <v>170102220</v>
          </cell>
          <cell r="S354">
            <v>2</v>
          </cell>
          <cell r="T354">
            <v>2</v>
          </cell>
          <cell r="U354" t="str">
            <v>Antifraude: 51 -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v>
          </cell>
          <cell r="V354">
            <v>200</v>
          </cell>
          <cell r="W354">
            <v>4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200</v>
          </cell>
          <cell r="AC354">
            <v>0</v>
          </cell>
          <cell r="AD354">
            <v>0</v>
          </cell>
          <cell r="AE354" t="str">
            <v>Sim</v>
          </cell>
        </row>
        <row r="355">
          <cell r="F355">
            <v>122534</v>
          </cell>
          <cell r="G355">
            <v>236814</v>
          </cell>
          <cell r="H355">
            <v>4380004000101</v>
          </cell>
          <cell r="I355" t="str">
            <v>MEDICINAL FARMACIA E MANIPULACAO LTDA</v>
          </cell>
          <cell r="J355" t="str">
            <v>RUA LUIZ GAMA</v>
          </cell>
          <cell r="K355">
            <v>335</v>
          </cell>
          <cell r="M355" t="str">
            <v>ZONA 04</v>
          </cell>
          <cell r="N355" t="str">
            <v>MARINGA</v>
          </cell>
          <cell r="O355" t="str">
            <v>PR</v>
          </cell>
          <cell r="Q355">
            <v>87013320</v>
          </cell>
          <cell r="R355">
            <v>170102220</v>
          </cell>
          <cell r="S355">
            <v>2</v>
          </cell>
          <cell r="T355">
            <v>2</v>
          </cell>
          <cell r="U355" t="str">
            <v>Antifraude: 7 - Total: R$ 260,84 (Cobrança pelo mínimo mensal) Análise Manual: 2 - Tarifa: 16,7313 - Total: R$ 33,46 (Período de apuração: 01/08/2026 à 31/08/2026) Vencimento: 26/09/2026 Brazilian Tax Information: Valor estimado dos tributos IBS e CBS, conforme disposto no art. 12 da Lei Complementar nº 214/2025 (Reforma Tributária sobre Consumo): R$2.66 (1%)</v>
          </cell>
          <cell r="V355">
            <v>300.3</v>
          </cell>
          <cell r="W355">
            <v>6.01</v>
          </cell>
          <cell r="X355">
            <v>0</v>
          </cell>
          <cell r="Y355">
            <v>1.95</v>
          </cell>
          <cell r="Z355">
            <v>9</v>
          </cell>
          <cell r="AA355">
            <v>3</v>
          </cell>
          <cell r="AB355">
            <v>300.3</v>
          </cell>
          <cell r="AC355">
            <v>0</v>
          </cell>
          <cell r="AD355">
            <v>0</v>
          </cell>
          <cell r="AE355" t="str">
            <v>Sim</v>
          </cell>
        </row>
        <row r="356">
          <cell r="F356">
            <v>122535</v>
          </cell>
          <cell r="G356">
            <v>236821</v>
          </cell>
          <cell r="H356">
            <v>12878141000190</v>
          </cell>
          <cell r="I356" t="str">
            <v>MESTRE MARCENEIRO LTDA</v>
          </cell>
          <cell r="J356" t="str">
            <v>ESTRADA MUNICIPAL JOSE SEDANO</v>
          </cell>
          <cell r="K356">
            <v>854</v>
          </cell>
          <cell r="L356" t="str">
            <v>GALPAOC M 1 A 6 E 13</v>
          </cell>
          <cell r="M356" t="str">
            <v>TECHNO PARK</v>
          </cell>
          <cell r="N356" t="str">
            <v>CAMPINAS</v>
          </cell>
          <cell r="O356" t="str">
            <v>SP</v>
          </cell>
          <cell r="Q356">
            <v>13069335</v>
          </cell>
          <cell r="R356">
            <v>170102220</v>
          </cell>
          <cell r="S356">
            <v>2</v>
          </cell>
          <cell r="T356">
            <v>2</v>
          </cell>
          <cell r="U356" t="str">
            <v>Antifraude: 3 - Total: R$ 154,22 (Cobrança pelo mínimo mensal) (Período de apuração: 01/08/2026 à 31/08/2026) Vencimento: 26/09/2026 Brazilian Tax Information: Valor estimado dos tributos IBS e CBS, conforme disposto no art. 12 da Lei Complementar nº 214/2025 (Reforma Tributária sobre Consumo): R$1.57 (1%)</v>
          </cell>
          <cell r="V356">
            <v>157.37</v>
          </cell>
          <cell r="W356">
            <v>3.15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157.37</v>
          </cell>
          <cell r="AC356">
            <v>0</v>
          </cell>
          <cell r="AD356">
            <v>0</v>
          </cell>
          <cell r="AE356" t="str">
            <v>Sim</v>
          </cell>
        </row>
        <row r="357">
          <cell r="F357">
            <v>122536</v>
          </cell>
          <cell r="G357">
            <v>236802</v>
          </cell>
          <cell r="H357">
            <v>46574475000192</v>
          </cell>
          <cell r="I357" t="str">
            <v>METRO BH S.A.</v>
          </cell>
          <cell r="J357" t="str">
            <v>RUA JANUARIA</v>
          </cell>
          <cell r="K357">
            <v>181</v>
          </cell>
          <cell r="M357" t="str">
            <v>COLEGIO BATISTA</v>
          </cell>
          <cell r="N357" t="str">
            <v>BELO HORIZONTE</v>
          </cell>
          <cell r="O357" t="str">
            <v>MG</v>
          </cell>
          <cell r="Q357">
            <v>31110060</v>
          </cell>
          <cell r="R357">
            <v>170102220</v>
          </cell>
          <cell r="S357">
            <v>2</v>
          </cell>
          <cell r="T357">
            <v>2</v>
          </cell>
          <cell r="U357" t="str">
            <v>Analista de Risco: R$ 21.107,52 Emailage: 487 - Tarifa:  0,3827 - Total: R$ 186,37 Antifraude: 488 - Total: R$ 12.467,66 (Cobrança pelo mínimo mensal) (Período de apuração: 01/08/2026 à 31/08/2026) Vencimento: 26/09/2026 Brazilian Tax Information: Valor estimado dos tributos IBS e CBS, conforme disposto no art. 12 da Lei Complementar nº 214/2025 (Reforma Tributária sobre Consumo): R$215.38 (1%)</v>
          </cell>
          <cell r="V357">
            <v>34450.559999999998</v>
          </cell>
          <cell r="W357">
            <v>689.01</v>
          </cell>
          <cell r="X357">
            <v>516.75</v>
          </cell>
          <cell r="Y357">
            <v>223.93</v>
          </cell>
          <cell r="Z357">
            <v>1033.52</v>
          </cell>
          <cell r="AA357">
            <v>344.5</v>
          </cell>
          <cell r="AB357">
            <v>34450.559999999998</v>
          </cell>
          <cell r="AC357">
            <v>0</v>
          </cell>
          <cell r="AD357">
            <v>0</v>
          </cell>
          <cell r="AE357" t="str">
            <v>Sim</v>
          </cell>
        </row>
        <row r="358">
          <cell r="F358">
            <v>122537</v>
          </cell>
          <cell r="G358">
            <v>236810</v>
          </cell>
          <cell r="H358">
            <v>67620377000114</v>
          </cell>
          <cell r="I358" t="str">
            <v>MINERVA S.A.</v>
          </cell>
          <cell r="J358" t="str">
            <v>PROLONGAMENTO AVENIDA ANTONIO MANCO BERNARDES</v>
          </cell>
          <cell r="K358" t="str">
            <v>S/N</v>
          </cell>
          <cell r="M358" t="str">
            <v>ROTATORIA FAMILIA VILELA DE QUEIROZ</v>
          </cell>
          <cell r="N358" t="str">
            <v>BARRETOS</v>
          </cell>
          <cell r="O358" t="str">
            <v>SP</v>
          </cell>
          <cell r="Q358">
            <v>14781545</v>
          </cell>
          <cell r="R358">
            <v>170102220</v>
          </cell>
          <cell r="S358">
            <v>2</v>
          </cell>
          <cell r="T358">
            <v>2</v>
          </cell>
          <cell r="U358" t="str">
            <v>Antifraude: 66 - Total: R$ 890,00 (Cobrança pelo mínimo mensal) Analista de Risco: R$ 4.199,00 (Período de apuração: 01/08/2026 à 31/08/2026) Vencimento: 01/10/2026 Brazilian Tax Information: Valor estimado dos tributos IBS e CBS, conforme disposto no art. 12 da Lei Complementar nº 214/2025 (Reforma Tributária sobre Consumo): R$9.08 (1%)</v>
          </cell>
          <cell r="V358">
            <v>5192.8500000000004</v>
          </cell>
          <cell r="W358">
            <v>103.86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5192.8500000000004</v>
          </cell>
          <cell r="AC358">
            <v>0</v>
          </cell>
          <cell r="AD358">
            <v>0</v>
          </cell>
          <cell r="AE358" t="str">
            <v>Sim</v>
          </cell>
        </row>
        <row r="359">
          <cell r="F359">
            <v>122538</v>
          </cell>
          <cell r="G359">
            <v>236811</v>
          </cell>
          <cell r="H359">
            <v>62678567000179</v>
          </cell>
          <cell r="I359" t="str">
            <v>MR STORE COMERCIO DE VESTUARIO E ACESSORIOS LTDA</v>
          </cell>
          <cell r="J359" t="str">
            <v>PRACA SAN MARTIN</v>
          </cell>
          <cell r="K359">
            <v>56</v>
          </cell>
          <cell r="L359" t="str">
            <v>EDIF SAN M ARTIN SAL</v>
          </cell>
          <cell r="M359" t="str">
            <v>PRAIA DO CANTO</v>
          </cell>
          <cell r="N359" t="str">
            <v>VITORIA</v>
          </cell>
          <cell r="O359" t="str">
            <v>ES</v>
          </cell>
          <cell r="Q359">
            <v>29055170</v>
          </cell>
          <cell r="R359">
            <v>170102220</v>
          </cell>
          <cell r="S359">
            <v>2</v>
          </cell>
          <cell r="T359">
            <v>2</v>
          </cell>
          <cell r="U359" t="str">
            <v>Antifraude: 18 - Total: R$ 218,00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R$2.22 (1%)</v>
          </cell>
          <cell r="V359">
            <v>222.45</v>
          </cell>
          <cell r="W359">
            <v>4.45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222.45</v>
          </cell>
          <cell r="AC359">
            <v>0</v>
          </cell>
          <cell r="AD359">
            <v>0</v>
          </cell>
          <cell r="AE359" t="str">
            <v>Sim</v>
          </cell>
        </row>
        <row r="360">
          <cell r="F360">
            <v>122539</v>
          </cell>
          <cell r="G360">
            <v>236823</v>
          </cell>
          <cell r="H360">
            <v>46134425000194</v>
          </cell>
          <cell r="I360" t="str">
            <v>HOTEIS ROYAL PALM PLAZA LTDA.</v>
          </cell>
          <cell r="J360" t="str">
            <v>AVENIDA AVENIDA ROYAL PALM PLAZA,</v>
          </cell>
          <cell r="K360">
            <v>277</v>
          </cell>
          <cell r="M360" t="str">
            <v>JARDIM NOVA CALIFORNIA</v>
          </cell>
          <cell r="N360" t="str">
            <v>CAMPINAS</v>
          </cell>
          <cell r="O360" t="str">
            <v>SP</v>
          </cell>
          <cell r="Q360">
            <v>13051901</v>
          </cell>
          <cell r="R360">
            <v>170102220</v>
          </cell>
          <cell r="S360">
            <v>2</v>
          </cell>
          <cell r="T360">
            <v>2</v>
          </cell>
          <cell r="U360" t="str">
            <v>Analista de Risco: R$ 4.250,00 Emailage: 785 - Tarifa:  0,5900 - Total: R$ 463,15 Serviço de Validação de Dados: 758 - Tarifa:  0,4800 - Total: R$ 363,84 Antifraude: 785 - Tarifa:  1,5900 - Total: R$ 1.248,15 (Período de apuração: 01/08/2026 à 31/08/2026) Vencimento: 26/09/2026 Brazilian Tax Information: Valor estimado dos tributos IBS e CBS, conforme disposto no art. 12 da Lei Complementar nº 214/2025 (Reforma Tributária sobre Consumo): R$43.37 (1%)</v>
          </cell>
          <cell r="V360">
            <v>6454.23</v>
          </cell>
          <cell r="W360">
            <v>129.08000000000001</v>
          </cell>
          <cell r="X360">
            <v>96.81</v>
          </cell>
          <cell r="Y360">
            <v>41.95</v>
          </cell>
          <cell r="Z360">
            <v>193.63</v>
          </cell>
          <cell r="AA360">
            <v>64.55</v>
          </cell>
          <cell r="AB360">
            <v>6454.23</v>
          </cell>
          <cell r="AC360">
            <v>0</v>
          </cell>
          <cell r="AD360">
            <v>0</v>
          </cell>
          <cell r="AE360" t="str">
            <v>Sim</v>
          </cell>
        </row>
        <row r="361">
          <cell r="F361">
            <v>122540</v>
          </cell>
          <cell r="G361">
            <v>236852</v>
          </cell>
          <cell r="H361">
            <v>5217384000201</v>
          </cell>
          <cell r="I361" t="str">
            <v>H PLUS ADMINISTRACAO E HOTELARIA LTDA</v>
          </cell>
          <cell r="J361" t="str">
            <v>SETOR HOTELEIRO NORTE QUADRA 01 CONJUNTO A BLOCO B</v>
          </cell>
          <cell r="K361" t="str">
            <v>S/N</v>
          </cell>
          <cell r="L361" t="str">
            <v>PARTE A</v>
          </cell>
          <cell r="M361" t="str">
            <v>ASA NORTE</v>
          </cell>
          <cell r="N361" t="str">
            <v>BRASILIA</v>
          </cell>
          <cell r="O361" t="str">
            <v>DF</v>
          </cell>
          <cell r="Q361">
            <v>70701000</v>
          </cell>
          <cell r="R361">
            <v>170102220</v>
          </cell>
          <cell r="S361">
            <v>2</v>
          </cell>
          <cell r="T361">
            <v>2</v>
          </cell>
          <cell r="U361" t="str">
            <v>Antifraude: 40 - Total: R$ 152,49 (Cobrança pelo mínimo mensal) Análise Manual: 19 - Tarifa: 10,0184 - Total: R$ 190,35 (Período de apuração: 01/08/2026 à 31/08/2026) Vencimento: 26/09/2026 Brazilian Tax Information: Valor estimado dos tributos IBS e CBS, conforme disposto no art. 12 da Lei Complementar nº 214/2025 (Reforma Tributária sobre Consumo): R$1.56 (1%)</v>
          </cell>
          <cell r="V361">
            <v>349.83</v>
          </cell>
          <cell r="W361">
            <v>7</v>
          </cell>
          <cell r="X361">
            <v>0</v>
          </cell>
          <cell r="Y361">
            <v>2.27</v>
          </cell>
          <cell r="Z361">
            <v>10.5</v>
          </cell>
          <cell r="AA361">
            <v>3.5</v>
          </cell>
          <cell r="AB361">
            <v>349.83</v>
          </cell>
          <cell r="AC361">
            <v>0</v>
          </cell>
          <cell r="AD361">
            <v>0</v>
          </cell>
          <cell r="AE361" t="str">
            <v>Sim</v>
          </cell>
        </row>
        <row r="362">
          <cell r="F362">
            <v>122541</v>
          </cell>
          <cell r="G362">
            <v>236856</v>
          </cell>
          <cell r="H362">
            <v>5027327000332</v>
          </cell>
          <cell r="I362" t="str">
            <v>INTER JAPAN VEICULOS LTDA</v>
          </cell>
          <cell r="J362" t="str">
            <v>RUA GASTAO VIDIGAL</v>
          </cell>
          <cell r="K362">
            <v>1457</v>
          </cell>
          <cell r="M362" t="str">
            <v>VILA LEOPOLDINA</v>
          </cell>
          <cell r="N362" t="str">
            <v>SAO PAULO</v>
          </cell>
          <cell r="O362" t="str">
            <v>SP</v>
          </cell>
          <cell r="Q362">
            <v>5314000</v>
          </cell>
          <cell r="R362">
            <v>170102220</v>
          </cell>
          <cell r="S362">
            <v>2</v>
          </cell>
          <cell r="T362">
            <v>2</v>
          </cell>
          <cell r="U362" t="str">
            <v>Antifraude: 128 - Total: R$ 511,22 (Cobrança pelo mínimo mensal) Análise Manual Expressa: 3 - Tarifa: 8,7900 - Total: R$ 26,37 (Período de apuração: 01/08/2026 à 31/08/2026) Vencimento: 26/09/2026 Brazilian Tax Information: Valor estimado dos tributos IBS e CBS, conforme disposto no art. 12 da Lei Complementar nº 214/2025 (Reforma Tributária sobre Consumo): R$5.22 (1%)</v>
          </cell>
          <cell r="V362">
            <v>548.55999999999995</v>
          </cell>
          <cell r="W362">
            <v>10.97</v>
          </cell>
          <cell r="X362">
            <v>0</v>
          </cell>
          <cell r="Y362">
            <v>3.56</v>
          </cell>
          <cell r="Z362">
            <v>16.46</v>
          </cell>
          <cell r="AA362">
            <v>5.49</v>
          </cell>
          <cell r="AB362">
            <v>548.55999999999995</v>
          </cell>
          <cell r="AC362">
            <v>0</v>
          </cell>
          <cell r="AD362">
            <v>0</v>
          </cell>
          <cell r="AE362" t="str">
            <v>Sim</v>
          </cell>
        </row>
        <row r="363">
          <cell r="F363">
            <v>122542</v>
          </cell>
          <cell r="G363">
            <v>236854</v>
          </cell>
          <cell r="H363">
            <v>4561957000168</v>
          </cell>
          <cell r="I363" t="str">
            <v>IMPORTADORA TV LAR LTDA</v>
          </cell>
          <cell r="J363" t="str">
            <v>RUA HENRIQUE MARTINS</v>
          </cell>
          <cell r="K363">
            <v>539</v>
          </cell>
          <cell r="M363" t="str">
            <v>CENTRO</v>
          </cell>
          <cell r="N363" t="str">
            <v>MANAUS</v>
          </cell>
          <cell r="O363" t="str">
            <v>AM</v>
          </cell>
          <cell r="Q363">
            <v>69010010</v>
          </cell>
          <cell r="R363">
            <v>170102220</v>
          </cell>
          <cell r="S363">
            <v>2</v>
          </cell>
          <cell r="T363">
            <v>2</v>
          </cell>
          <cell r="U363" t="str">
            <v>Emailage: 159 - Tarifa:  0,6051 - Total: R$ 96,21 Antifraude: 159 - Total: R$ 155,04 (Cobrança pelo mínimo mensal) Análise Manual Expressa: 18 - Tarifa: 10,8800 - Total: R$ 195,84 (Período de apuração: 01/08/2026 à 31/08/2026) Vencimento: 26/09/2026 Brazilian Tax Information: Valor estimado dos tributos IBS e CBS, conforme disposto no art. 12 da Lei Complementar nº 214/2025 (Reforma Tributária sobre Consumo): R$0.98 (1%)</v>
          </cell>
          <cell r="V363">
            <v>456.21</v>
          </cell>
          <cell r="W363">
            <v>9.1199999999999992</v>
          </cell>
          <cell r="X363">
            <v>0</v>
          </cell>
          <cell r="Y363">
            <v>2.97</v>
          </cell>
          <cell r="Z363">
            <v>13.7</v>
          </cell>
          <cell r="AA363">
            <v>4.5599999999999996</v>
          </cell>
          <cell r="AB363">
            <v>456.21</v>
          </cell>
          <cell r="AC363">
            <v>0</v>
          </cell>
          <cell r="AD363">
            <v>0</v>
          </cell>
          <cell r="AE363" t="str">
            <v>Sim</v>
          </cell>
        </row>
        <row r="364">
          <cell r="F364">
            <v>122543</v>
          </cell>
          <cell r="G364">
            <v>236861</v>
          </cell>
          <cell r="H364">
            <v>9389792000102</v>
          </cell>
          <cell r="I364" t="str">
            <v>MADEIREIRA VALE DO PARA LTDA</v>
          </cell>
          <cell r="J364" t="str">
            <v>AVENIDA NEVALDO ROCHA</v>
          </cell>
          <cell r="K364">
            <v>535</v>
          </cell>
          <cell r="M364" t="str">
            <v>QUINTAS</v>
          </cell>
          <cell r="N364" t="str">
            <v>NATAL</v>
          </cell>
          <cell r="O364" t="str">
            <v>RN</v>
          </cell>
          <cell r="Q364">
            <v>59035015</v>
          </cell>
          <cell r="R364">
            <v>170102220</v>
          </cell>
          <cell r="S364">
            <v>2</v>
          </cell>
          <cell r="T364">
            <v>2</v>
          </cell>
          <cell r="U364" t="str">
            <v>Antifraude: 50 - Total: R$ 153,11 (Cobrança pelo mínimo mensal) Análise Manual: 19 - Tarifa: 9,8427 - Total: R$ 187,01 (Período de apuração: 01/08/2026 à 31/08/2026) Vencimento: 26/09/2026 Brazilian Tax Information: Valor estimado dos tributos IBS e CBS, conforme disposto no art. 12 da Lei Complementar nº 214/2025 (Reforma Tributária sobre Consumo): R$1.56 (1%)</v>
          </cell>
          <cell r="V364">
            <v>347.06</v>
          </cell>
          <cell r="W364">
            <v>6.94</v>
          </cell>
          <cell r="X364">
            <v>0</v>
          </cell>
          <cell r="Y364">
            <v>2.2599999999999998</v>
          </cell>
          <cell r="Z364">
            <v>10.41</v>
          </cell>
          <cell r="AA364">
            <v>3.47</v>
          </cell>
          <cell r="AB364">
            <v>347.06</v>
          </cell>
          <cell r="AC364">
            <v>0</v>
          </cell>
          <cell r="AD364">
            <v>0</v>
          </cell>
          <cell r="AE364" t="str">
            <v>Sim</v>
          </cell>
        </row>
        <row r="365">
          <cell r="F365">
            <v>122544</v>
          </cell>
          <cell r="G365">
            <v>236860</v>
          </cell>
          <cell r="H365">
            <v>25965815000136</v>
          </cell>
          <cell r="I365" t="str">
            <v>HOTEL FAZENDA VALE SUICO LTDA</v>
          </cell>
          <cell r="J365" t="str">
            <v>COMUNIDADE BAIRRO DO MONJOLINHO</v>
          </cell>
          <cell r="K365" t="str">
            <v>S/N</v>
          </cell>
          <cell r="L365" t="str">
            <v>RODOVIA FE RNAO DIAS</v>
          </cell>
          <cell r="M365" t="str">
            <v>MONJOLINHO</v>
          </cell>
          <cell r="N365" t="str">
            <v>ITAPEVA</v>
          </cell>
          <cell r="O365" t="str">
            <v>MG</v>
          </cell>
          <cell r="Q365">
            <v>37655000</v>
          </cell>
          <cell r="R365">
            <v>170102220</v>
          </cell>
          <cell r="S365">
            <v>2</v>
          </cell>
          <cell r="T365">
            <v>2</v>
          </cell>
          <cell r="U365" t="str">
            <v>Emailage: 350 - Tarifa:  0,8500 - Total: R$ 297,50 Antifraude: 350 - Tarifa:  0,8500 - Total: R$ 297,50 (Período de apuração: 01/08/2026 à 31/08/2026) Vencimento: 26/09/2026 Brazilian Tax Information: Valor estimado dos tributos IBS e CBS, conforme disposto no art. 12 da Lei Complementar nº 214/2025 (Reforma Tributária sobre Consumo): R$3.04 (1%)</v>
          </cell>
          <cell r="V365">
            <v>607.14</v>
          </cell>
          <cell r="W365">
            <v>12.14</v>
          </cell>
          <cell r="X365">
            <v>0</v>
          </cell>
          <cell r="Y365">
            <v>3.94</v>
          </cell>
          <cell r="Z365">
            <v>18.22</v>
          </cell>
          <cell r="AA365">
            <v>6.08</v>
          </cell>
          <cell r="AB365">
            <v>607.14</v>
          </cell>
          <cell r="AC365">
            <v>0</v>
          </cell>
          <cell r="AD365">
            <v>0</v>
          </cell>
          <cell r="AE365" t="str">
            <v>Sim</v>
          </cell>
        </row>
        <row r="366">
          <cell r="F366">
            <v>122545</v>
          </cell>
          <cell r="G366">
            <v>236881</v>
          </cell>
          <cell r="H366">
            <v>43214055004528</v>
          </cell>
          <cell r="I366" t="str">
            <v>MARTINS COMERCIO E SERVICOS DE DISTRIBUICAO S/A</v>
          </cell>
          <cell r="J366" t="str">
            <v>RUA JATAI</v>
          </cell>
          <cell r="K366">
            <v>1150</v>
          </cell>
          <cell r="M366" t="str">
            <v>APARECIDA</v>
          </cell>
          <cell r="N366" t="str">
            <v>UBERLANDIA</v>
          </cell>
          <cell r="O366" t="str">
            <v>MG</v>
          </cell>
          <cell r="Q366">
            <v>38400632</v>
          </cell>
          <cell r="R366">
            <v>170102220</v>
          </cell>
          <cell r="S366">
            <v>2</v>
          </cell>
          <cell r="T366">
            <v>2</v>
          </cell>
          <cell r="U366" t="str">
            <v>AntiFraude: Transações: 9124 - Total: R$ 9.535,88 (Cobrança pelo mínimo mensal) Analista de Risco: R$ 5.720,25 Nº Pedido: 212708/56 (Período de apuração: 01/08/2026 à 31/08/2026) Vencimento: 11/10/2026 Brazilian Tax Information: Valor estimado dos tributos IBS e CBS, conforme disposto no art. 12 da Lei Complementar nº 214/2025 (Reforma Tributária sobre Consumo): R$97.30 (1%)</v>
          </cell>
          <cell r="V366">
            <v>15567.48</v>
          </cell>
          <cell r="W366">
            <v>311.35000000000002</v>
          </cell>
          <cell r="X366">
            <v>233.51</v>
          </cell>
          <cell r="Y366">
            <v>101.19</v>
          </cell>
          <cell r="Z366">
            <v>467.02</v>
          </cell>
          <cell r="AA366">
            <v>155.66999999999999</v>
          </cell>
          <cell r="AB366">
            <v>15567.48</v>
          </cell>
          <cell r="AC366">
            <v>0</v>
          </cell>
          <cell r="AD366">
            <v>0</v>
          </cell>
          <cell r="AE366" t="str">
            <v>Sim</v>
          </cell>
        </row>
        <row r="367">
          <cell r="F367">
            <v>122546</v>
          </cell>
          <cell r="G367">
            <v>236911</v>
          </cell>
          <cell r="H367">
            <v>17245051000186</v>
          </cell>
          <cell r="I367" t="str">
            <v>INCOMFRAL - INDUSTRIA E COMERCIO DE FRALDAS LTDA</v>
          </cell>
          <cell r="J367" t="str">
            <v>RUA PEDRO DE QUEIROZ</v>
          </cell>
          <cell r="K367">
            <v>2836</v>
          </cell>
          <cell r="M367" t="str">
            <v>VARZEA DA OLARIA</v>
          </cell>
          <cell r="N367" t="str">
            <v>ITAUNA</v>
          </cell>
          <cell r="O367" t="str">
            <v>MG</v>
          </cell>
          <cell r="Q367">
            <v>35680119</v>
          </cell>
          <cell r="R367">
            <v>170102220</v>
          </cell>
          <cell r="S367">
            <v>2</v>
          </cell>
          <cell r="T367">
            <v>2</v>
          </cell>
          <cell r="U367" t="str">
            <v>AntiFraude: Transações: 0 - Total: R$ 337,18 (Cobrança pelo mínimo mensal) (Período de apuração: 01/08/2026 à 31/08/2026) Vencimento: 26/09/2026 Brazilian Tax Information: Valor estimado dos tributos IBS e CBS, conforme disposto no art. 12 da Lei Complementar nº 214/2025 (Reforma Tributária sobre Consumo): R$3.44 (1%)</v>
          </cell>
          <cell r="V367">
            <v>344.06</v>
          </cell>
          <cell r="W367">
            <v>6.88</v>
          </cell>
          <cell r="X367">
            <v>0</v>
          </cell>
          <cell r="Y367">
            <v>2.2400000000000002</v>
          </cell>
          <cell r="Z367">
            <v>10.32</v>
          </cell>
          <cell r="AA367">
            <v>3.44</v>
          </cell>
          <cell r="AB367">
            <v>344.06</v>
          </cell>
          <cell r="AC367">
            <v>0</v>
          </cell>
          <cell r="AD367">
            <v>0</v>
          </cell>
          <cell r="AE367" t="str">
            <v>Sim</v>
          </cell>
        </row>
        <row r="368">
          <cell r="F368">
            <v>122547</v>
          </cell>
          <cell r="G368">
            <v>236905</v>
          </cell>
          <cell r="H368">
            <v>59662817000178</v>
          </cell>
          <cell r="I368" t="str">
            <v>MARCIA CRISTINA LOPES LEVORATO &amp; CIA LTDA</v>
          </cell>
          <cell r="J368" t="str">
            <v>AVENIDA OTONI PIVA</v>
          </cell>
          <cell r="K368">
            <v>10</v>
          </cell>
          <cell r="L368" t="str">
            <v>SALA 03</v>
          </cell>
          <cell r="M368" t="str">
            <v>TAQUARAL</v>
          </cell>
          <cell r="N368" t="str">
            <v>BROTAS</v>
          </cell>
          <cell r="O368" t="str">
            <v>SP</v>
          </cell>
          <cell r="Q368">
            <v>17382174</v>
          </cell>
          <cell r="R368">
            <v>170102220</v>
          </cell>
          <cell r="S368">
            <v>2</v>
          </cell>
          <cell r="T368">
            <v>2</v>
          </cell>
          <cell r="U368" t="str">
            <v>AntiFraude: Transações: 0 - Total: R$ 63,32 (Cobrança pelo mínimo mensal) (Período de apuração: 01/08/2026 à 31/08/2026) Vencimento: 26/09/2026 Brazilian Tax Information: Valor estimado dos tributos IBS e CBS, conforme disposto no art. 12 da Lei Complementar nº 214/2025 (Reforma Tributária sobre Consumo): R$0.65 (1%)</v>
          </cell>
          <cell r="V368">
            <v>64.61</v>
          </cell>
          <cell r="W368">
            <v>1.29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64.61</v>
          </cell>
          <cell r="AC368">
            <v>0</v>
          </cell>
          <cell r="AD368">
            <v>0</v>
          </cell>
          <cell r="AE368" t="str">
            <v>Sim</v>
          </cell>
        </row>
        <row r="369">
          <cell r="F369">
            <v>122548</v>
          </cell>
          <cell r="G369">
            <v>236906</v>
          </cell>
          <cell r="H369">
            <v>59377788000100</v>
          </cell>
          <cell r="I369" t="str">
            <v>JJMN CONFECCOES LTDA</v>
          </cell>
          <cell r="J369" t="str">
            <v>RUA DA GRACA</v>
          </cell>
          <cell r="K369">
            <v>454</v>
          </cell>
          <cell r="L369" t="str">
            <v>LOJA 446</v>
          </cell>
          <cell r="M369" t="str">
            <v>BOM RETIRO</v>
          </cell>
          <cell r="N369" t="str">
            <v>SAO PAULO</v>
          </cell>
          <cell r="O369" t="str">
            <v>SP</v>
          </cell>
          <cell r="Q369">
            <v>1125000</v>
          </cell>
          <cell r="R369">
            <v>170102220</v>
          </cell>
          <cell r="S369">
            <v>2</v>
          </cell>
          <cell r="T369">
            <v>2</v>
          </cell>
          <cell r="U369" t="str">
            <v>AntiFraude: Transações: 0 - Total: R$ 416,28 (Cobrança pelo mínimo mensal) (Período de apuração: 01/08/2026 à 31/08/2026) Vencimento: 26/09/2026 Brazilian Tax Information: Valor estimado dos tributos IBS e CBS, conforme disposto no art. 12 da Lei Complementar nº 214/2025 (Reforma Tributária sobre Consumo): R$4.25 (1%)</v>
          </cell>
          <cell r="V369">
            <v>424.78</v>
          </cell>
          <cell r="W369">
            <v>8.5</v>
          </cell>
          <cell r="X369">
            <v>0</v>
          </cell>
          <cell r="Y369">
            <v>2.76</v>
          </cell>
          <cell r="Z369">
            <v>12.74</v>
          </cell>
          <cell r="AA369">
            <v>0</v>
          </cell>
          <cell r="AB369">
            <v>424.78</v>
          </cell>
          <cell r="AC369">
            <v>0</v>
          </cell>
          <cell r="AD369">
            <v>0</v>
          </cell>
          <cell r="AE369" t="str">
            <v>Sim</v>
          </cell>
        </row>
        <row r="370">
          <cell r="F370">
            <v>122549</v>
          </cell>
          <cell r="G370">
            <v>236913</v>
          </cell>
          <cell r="H370">
            <v>16571889000105</v>
          </cell>
          <cell r="I370" t="str">
            <v>JAB COMERCIO E DISTRIBUICAO DE ELETRO E ELETRONICO LTDA</v>
          </cell>
          <cell r="J370" t="str">
            <v>AVENIDA ANTONIO SALES</v>
          </cell>
          <cell r="K370">
            <v>645</v>
          </cell>
          <cell r="L370" t="str">
            <v>LOJA A</v>
          </cell>
          <cell r="M370" t="str">
            <v>JOAQUIM TAVORA</v>
          </cell>
          <cell r="N370" t="str">
            <v>FORTALEZA</v>
          </cell>
          <cell r="O370" t="str">
            <v>CE</v>
          </cell>
          <cell r="Q370">
            <v>60135101</v>
          </cell>
          <cell r="R370">
            <v>170102220</v>
          </cell>
          <cell r="S370">
            <v>2</v>
          </cell>
          <cell r="T370">
            <v>2</v>
          </cell>
          <cell r="U370" t="str">
            <v>AntiFraude: Transações: 0 - Total: R$ 115,24 (Cobrança pelo mínimo mensal) (Período de apuração: 01/08/2026 à 31/08/2026) Vencimento: 26/09/2026 Brazilian Tax Information: Valor estimado dos tributos IBS e CBS, conforme disposto no art. 12 da Lei Complementar nº 214/2025 (Reforma Tributária sobre Consumo): R$1.18 (1%)</v>
          </cell>
          <cell r="V370">
            <v>117.59</v>
          </cell>
          <cell r="W370">
            <v>2.35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117.59</v>
          </cell>
          <cell r="AC370">
            <v>0</v>
          </cell>
          <cell r="AD370">
            <v>0</v>
          </cell>
          <cell r="AE370" t="str">
            <v>Sim</v>
          </cell>
        </row>
        <row r="371">
          <cell r="F371">
            <v>122550</v>
          </cell>
          <cell r="G371">
            <v>236896</v>
          </cell>
          <cell r="H371">
            <v>31743818000128</v>
          </cell>
          <cell r="I371" t="str">
            <v>LOJAS SIMONETTI LTDA</v>
          </cell>
          <cell r="J371" t="str">
            <v>RUA CARLOS CASTRO</v>
          </cell>
          <cell r="K371" t="str">
            <v>245A</v>
          </cell>
          <cell r="M371" t="str">
            <v>CANARIO</v>
          </cell>
          <cell r="N371" t="str">
            <v>PINHEIROS</v>
          </cell>
          <cell r="O371" t="str">
            <v>ES</v>
          </cell>
          <cell r="Q371">
            <v>29980000</v>
          </cell>
          <cell r="R371">
            <v>170102220</v>
          </cell>
          <cell r="S371">
            <v>2</v>
          </cell>
          <cell r="T371">
            <v>2</v>
          </cell>
          <cell r="U371" t="str">
            <v>AntiFraude: Transações: 769 - Total: R$ 1.255,17 (Cobrança pelo mínimo mensal) (Período de apuração: 01/08/2026 à 31/08/2026) Vencimento: 20/10/2026 Brazilian Tax Information: Valor estimado dos tributos IBS e CBS, conforme disposto no art. 12 da Lei Complementar nº 214/2025 (Reforma Tributária sobre Consumo): R$12.81 (1%)</v>
          </cell>
          <cell r="V371">
            <v>1280.79</v>
          </cell>
          <cell r="W371">
            <v>25.62</v>
          </cell>
          <cell r="X371">
            <v>19.21</v>
          </cell>
          <cell r="Y371">
            <v>8.33</v>
          </cell>
          <cell r="Z371">
            <v>38.42</v>
          </cell>
          <cell r="AA371">
            <v>12.81</v>
          </cell>
          <cell r="AB371">
            <v>1280.79</v>
          </cell>
          <cell r="AC371">
            <v>0</v>
          </cell>
          <cell r="AD371">
            <v>0</v>
          </cell>
          <cell r="AE371" t="str">
            <v>Sim</v>
          </cell>
        </row>
        <row r="372">
          <cell r="F372">
            <v>122551</v>
          </cell>
          <cell r="G372">
            <v>236895</v>
          </cell>
          <cell r="H372">
            <v>14779797000262</v>
          </cell>
          <cell r="I372" t="str">
            <v>MERSAN MODAS LTDA</v>
          </cell>
          <cell r="J372" t="str">
            <v>AVENIDA SENHOR DOS PASSOS</v>
          </cell>
          <cell r="K372">
            <v>1073</v>
          </cell>
          <cell r="M372" t="str">
            <v>CENTRO</v>
          </cell>
          <cell r="N372" t="str">
            <v>FEIRA DE SANTANA</v>
          </cell>
          <cell r="O372" t="str">
            <v>BA</v>
          </cell>
          <cell r="Q372">
            <v>44020005</v>
          </cell>
          <cell r="R372">
            <v>170102220</v>
          </cell>
          <cell r="S372">
            <v>2</v>
          </cell>
          <cell r="T372">
            <v>2</v>
          </cell>
          <cell r="U372" t="str">
            <v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v>
          </cell>
          <cell r="V372">
            <v>195.61</v>
          </cell>
          <cell r="W372">
            <v>3.91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195.61</v>
          </cell>
          <cell r="AC372">
            <v>0</v>
          </cell>
          <cell r="AD372">
            <v>0</v>
          </cell>
          <cell r="AE372" t="str">
            <v>Sim</v>
          </cell>
        </row>
        <row r="373">
          <cell r="F373">
            <v>122552</v>
          </cell>
          <cell r="G373">
            <v>236962</v>
          </cell>
          <cell r="H373">
            <v>9392341000558</v>
          </cell>
          <cell r="I373" t="str">
            <v>LAMPADINHA MATERIAIS ELETRICOS LTDA</v>
          </cell>
          <cell r="J373" t="str">
            <v>AVENIDA DAO SILVEIRA</v>
          </cell>
          <cell r="K373">
            <v>3740</v>
          </cell>
          <cell r="L373" t="str">
            <v>A</v>
          </cell>
          <cell r="M373" t="str">
            <v>CANDELARIA</v>
          </cell>
          <cell r="N373" t="str">
            <v>NATAL</v>
          </cell>
          <cell r="O373" t="str">
            <v>RN</v>
          </cell>
          <cell r="Q373">
            <v>59066180</v>
          </cell>
          <cell r="R373">
            <v>170102220</v>
          </cell>
          <cell r="S373">
            <v>2</v>
          </cell>
          <cell r="T373">
            <v>2</v>
          </cell>
          <cell r="U373" t="str">
            <v>AntiFraude: Transações: 0 - Total: R$ 157,17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v>
          </cell>
          <cell r="V373">
            <v>160.38</v>
          </cell>
          <cell r="W373">
            <v>3.21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160.38</v>
          </cell>
          <cell r="AC373">
            <v>0</v>
          </cell>
          <cell r="AD373">
            <v>0</v>
          </cell>
          <cell r="AE373" t="str">
            <v>Sim</v>
          </cell>
        </row>
        <row r="374">
          <cell r="F374">
            <v>122553</v>
          </cell>
          <cell r="G374">
            <v>236926</v>
          </cell>
          <cell r="H374">
            <v>88613922001278</v>
          </cell>
          <cell r="I374" t="str">
            <v>IMDEPA ROLAMENTOS IMPORTACAO E COMERCIO LTDA</v>
          </cell>
          <cell r="J374" t="str">
            <v>RUA BUARQUE DE MACEDO</v>
          </cell>
          <cell r="K374">
            <v>892</v>
          </cell>
          <cell r="M374" t="str">
            <v>SAO JOAO</v>
          </cell>
          <cell r="N374" t="str">
            <v>PORTO ALEGRE</v>
          </cell>
          <cell r="O374" t="str">
            <v>RS</v>
          </cell>
          <cell r="Q374">
            <v>90550026</v>
          </cell>
          <cell r="R374">
            <v>170102220</v>
          </cell>
          <cell r="S374">
            <v>2</v>
          </cell>
          <cell r="T374">
            <v>2</v>
          </cell>
          <cell r="U374" t="str">
            <v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v>
          </cell>
          <cell r="V374">
            <v>133.31</v>
          </cell>
          <cell r="W374">
            <v>2.67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133.31</v>
          </cell>
          <cell r="AC374">
            <v>0</v>
          </cell>
          <cell r="AD374">
            <v>0</v>
          </cell>
          <cell r="AE374" t="str">
            <v>Sim</v>
          </cell>
        </row>
        <row r="375">
          <cell r="F375">
            <v>122554</v>
          </cell>
          <cell r="G375">
            <v>236949</v>
          </cell>
          <cell r="H375">
            <v>827783000181</v>
          </cell>
          <cell r="I375" t="str">
            <v>KURUMA VEICULOS LTDA</v>
          </cell>
          <cell r="J375" t="str">
            <v>AVENIDA NOSSA SENHORA DA PENHA</v>
          </cell>
          <cell r="K375">
            <v>2255</v>
          </cell>
          <cell r="M375" t="str">
            <v>SANTA LUIZA</v>
          </cell>
          <cell r="N375" t="str">
            <v>VITORIA</v>
          </cell>
          <cell r="O375" t="str">
            <v>ES</v>
          </cell>
          <cell r="Q375">
            <v>29045403</v>
          </cell>
          <cell r="R375">
            <v>170102220</v>
          </cell>
          <cell r="S375">
            <v>2</v>
          </cell>
          <cell r="T375">
            <v>2</v>
          </cell>
          <cell r="U375" t="str">
            <v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375">
            <v>528.97</v>
          </cell>
          <cell r="W375">
            <v>10.58</v>
          </cell>
          <cell r="X375">
            <v>0</v>
          </cell>
          <cell r="Y375">
            <v>3.44</v>
          </cell>
          <cell r="Z375">
            <v>15.87</v>
          </cell>
          <cell r="AA375">
            <v>5.29</v>
          </cell>
          <cell r="AB375">
            <v>528.97</v>
          </cell>
          <cell r="AC375">
            <v>0</v>
          </cell>
          <cell r="AD375">
            <v>0</v>
          </cell>
          <cell r="AE375" t="str">
            <v>Sim</v>
          </cell>
        </row>
        <row r="376">
          <cell r="F376">
            <v>122555</v>
          </cell>
          <cell r="G376">
            <v>236925</v>
          </cell>
          <cell r="H376">
            <v>5481897000136</v>
          </cell>
          <cell r="I376" t="str">
            <v>HAI AUTOMOVEIS LTDA</v>
          </cell>
          <cell r="J376" t="str">
            <v>VIA MARGINAL DE ACESSO BR 282</v>
          </cell>
          <cell r="K376">
            <v>1777</v>
          </cell>
          <cell r="L376" t="str">
            <v>VIA EXPRES SA</v>
          </cell>
          <cell r="M376" t="str">
            <v>ABRAAO</v>
          </cell>
          <cell r="N376" t="str">
            <v>FLORIANOPOLIS</v>
          </cell>
          <cell r="O376" t="str">
            <v>SC</v>
          </cell>
          <cell r="Q376">
            <v>88080140</v>
          </cell>
          <cell r="R376">
            <v>170102220</v>
          </cell>
          <cell r="S376">
            <v>2</v>
          </cell>
          <cell r="T376">
            <v>2</v>
          </cell>
          <cell r="U376" t="str">
            <v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376">
            <v>528.97</v>
          </cell>
          <cell r="W376">
            <v>10.58</v>
          </cell>
          <cell r="X376">
            <v>0</v>
          </cell>
          <cell r="Y376">
            <v>3.44</v>
          </cell>
          <cell r="Z376">
            <v>15.87</v>
          </cell>
          <cell r="AA376">
            <v>5.29</v>
          </cell>
          <cell r="AB376">
            <v>528.97</v>
          </cell>
          <cell r="AC376">
            <v>0</v>
          </cell>
          <cell r="AD376">
            <v>0</v>
          </cell>
          <cell r="AE376" t="str">
            <v>Sim</v>
          </cell>
        </row>
        <row r="377">
          <cell r="F377">
            <v>122556</v>
          </cell>
          <cell r="G377">
            <v>236941</v>
          </cell>
          <cell r="H377">
            <v>5471879000173</v>
          </cell>
          <cell r="I377" t="str">
            <v>KASA MOTORS LTDA</v>
          </cell>
          <cell r="J377" t="str">
            <v>AVENIDA T7</v>
          </cell>
          <cell r="K377">
            <v>563</v>
          </cell>
          <cell r="L377" t="str">
            <v>QUADRA38 L OTE 2E3 6</v>
          </cell>
          <cell r="M377" t="str">
            <v>SET BUENO</v>
          </cell>
          <cell r="N377" t="str">
            <v>GOIANIA</v>
          </cell>
          <cell r="O377" t="str">
            <v>GO</v>
          </cell>
          <cell r="Q377">
            <v>74210265</v>
          </cell>
          <cell r="R377">
            <v>170102220</v>
          </cell>
          <cell r="S377">
            <v>2</v>
          </cell>
          <cell r="T377">
            <v>2</v>
          </cell>
          <cell r="U377" t="str">
            <v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v>
          </cell>
          <cell r="V377">
            <v>518.51</v>
          </cell>
          <cell r="W377">
            <v>10.37</v>
          </cell>
          <cell r="X377">
            <v>0</v>
          </cell>
          <cell r="Y377">
            <v>3.37</v>
          </cell>
          <cell r="Z377">
            <v>15.56</v>
          </cell>
          <cell r="AA377">
            <v>5.19</v>
          </cell>
          <cell r="AB377">
            <v>518.51</v>
          </cell>
          <cell r="AC377">
            <v>0</v>
          </cell>
          <cell r="AD377">
            <v>0</v>
          </cell>
          <cell r="AE377" t="str">
            <v>Sim</v>
          </cell>
        </row>
        <row r="378">
          <cell r="F378">
            <v>122557</v>
          </cell>
          <cell r="G378">
            <v>236937</v>
          </cell>
          <cell r="H378">
            <v>10649482000169</v>
          </cell>
          <cell r="I378" t="str">
            <v>MARCOS TIAGO PEREIRA TORRES BIJUTERIAS</v>
          </cell>
          <cell r="J378" t="str">
            <v>RUA FLORIANO PEIXOTO</v>
          </cell>
          <cell r="K378">
            <v>657</v>
          </cell>
          <cell r="L378" t="str">
            <v>P.BORGES 1 38 142 14</v>
          </cell>
          <cell r="M378" t="str">
            <v>CENTRO</v>
          </cell>
          <cell r="N378" t="str">
            <v>FORTALEZA</v>
          </cell>
          <cell r="O378" t="str">
            <v>CE</v>
          </cell>
          <cell r="Q378">
            <v>60025130</v>
          </cell>
          <cell r="R378">
            <v>170102220</v>
          </cell>
          <cell r="S378">
            <v>2</v>
          </cell>
          <cell r="T378">
            <v>2</v>
          </cell>
          <cell r="U378" t="str">
            <v>AntiFraude: Transações: 0 - Total: R$ 143,10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v>
          </cell>
          <cell r="V378">
            <v>146.02000000000001</v>
          </cell>
          <cell r="W378">
            <v>2.92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146.02000000000001</v>
          </cell>
          <cell r="AC378">
            <v>0</v>
          </cell>
          <cell r="AD378">
            <v>0</v>
          </cell>
          <cell r="AE378" t="str">
            <v>Sim</v>
          </cell>
        </row>
        <row r="379">
          <cell r="F379">
            <v>122558</v>
          </cell>
          <cell r="G379">
            <v>236953</v>
          </cell>
          <cell r="H379">
            <v>10614426000199</v>
          </cell>
          <cell r="I379" t="str">
            <v>LUZ FRANQUIAS LTDA</v>
          </cell>
          <cell r="J379" t="str">
            <v>ALAMEDA AMAZONAS</v>
          </cell>
          <cell r="K379">
            <v>594</v>
          </cell>
          <cell r="L379" t="str">
            <v>ANDAR TERC EIRO</v>
          </cell>
          <cell r="M379" t="str">
            <v>ALPHAVILLE</v>
          </cell>
          <cell r="N379" t="str">
            <v>BARUERI</v>
          </cell>
          <cell r="O379" t="str">
            <v>SP</v>
          </cell>
          <cell r="Q379">
            <v>6454070</v>
          </cell>
          <cell r="R379">
            <v>170102220</v>
          </cell>
          <cell r="S379">
            <v>2</v>
          </cell>
          <cell r="T379">
            <v>2</v>
          </cell>
          <cell r="U379" t="str">
            <v>AntiFraude: Transações: 0 - Total: R$ 369,71 (Cobrança pelo mínimo mensal) (Período de apuração: 01/08/2026 à 31/08/2026) Vencimento: 26/09/2026 Brazilian Tax Information: Valor estimado dos tributos IBS e CBS, conforme disposto no art. 12 da Lei Complementar nº 214/2025 (Reforma Tributária sobre Consumo): R$3.77 (1%)</v>
          </cell>
          <cell r="V379">
            <v>377.26</v>
          </cell>
          <cell r="W379">
            <v>7.55</v>
          </cell>
          <cell r="X379">
            <v>0</v>
          </cell>
          <cell r="Y379">
            <v>2.4500000000000002</v>
          </cell>
          <cell r="Z379">
            <v>11.32</v>
          </cell>
          <cell r="AA379">
            <v>3.77</v>
          </cell>
          <cell r="AB379">
            <v>377.26</v>
          </cell>
          <cell r="AC379">
            <v>0</v>
          </cell>
          <cell r="AD379">
            <v>0</v>
          </cell>
          <cell r="AE379" t="str">
            <v>Sim</v>
          </cell>
        </row>
        <row r="380">
          <cell r="F380">
            <v>122559</v>
          </cell>
          <cell r="G380">
            <v>236927</v>
          </cell>
          <cell r="H380">
            <v>43354752000163</v>
          </cell>
          <cell r="I380" t="str">
            <v>HS - ADMINISTRACAO E PARTICIPACOESLTDA</v>
          </cell>
          <cell r="J380" t="str">
            <v>AVENIDA BRIGADEIRO FARIA LIMA</v>
          </cell>
          <cell r="K380">
            <v>1309</v>
          </cell>
          <cell r="L380" t="str">
            <v>ANDAR 6</v>
          </cell>
          <cell r="M380" t="str">
            <v>JARDIM PAULISTANO</v>
          </cell>
          <cell r="N380" t="str">
            <v>SAO PAULO</v>
          </cell>
          <cell r="O380" t="str">
            <v>SP</v>
          </cell>
          <cell r="Q380">
            <v>1451001</v>
          </cell>
          <cell r="R380">
            <v>170102220</v>
          </cell>
          <cell r="S380">
            <v>2</v>
          </cell>
          <cell r="T380">
            <v>2</v>
          </cell>
          <cell r="U380" t="str">
            <v>AntiFraude: Transações: 0 - Total: R$ 159,68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380">
            <v>162.94</v>
          </cell>
          <cell r="W380">
            <v>3.26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162.94</v>
          </cell>
          <cell r="AC380">
            <v>0</v>
          </cell>
          <cell r="AD380">
            <v>0</v>
          </cell>
          <cell r="AE380" t="str">
            <v>Sim</v>
          </cell>
        </row>
        <row r="381">
          <cell r="F381">
            <v>122560</v>
          </cell>
          <cell r="G381">
            <v>237002</v>
          </cell>
          <cell r="H381">
            <v>6340404000100</v>
          </cell>
          <cell r="I381" t="str">
            <v>JU MANZINI COMERCIO DE ROUPAS, BIJUTERIAS E ACESSORIOS LTDA</v>
          </cell>
          <cell r="J381" t="str">
            <v>RUA ASSIS BRASIL</v>
          </cell>
          <cell r="K381">
            <v>75</v>
          </cell>
          <cell r="M381" t="str">
            <v>BROOKLIN PAULISTA</v>
          </cell>
          <cell r="N381" t="str">
            <v>SAO PAULO</v>
          </cell>
          <cell r="O381" t="str">
            <v>SP</v>
          </cell>
          <cell r="Q381">
            <v>4601010</v>
          </cell>
          <cell r="R381">
            <v>170102220</v>
          </cell>
          <cell r="S381">
            <v>2</v>
          </cell>
          <cell r="T381">
            <v>2</v>
          </cell>
          <cell r="U381" t="str">
            <v>AntiFraude: Transações: 0 - Total: R$ 160,30 (Cobrança pelo mínimo mensal) (Período de apuração: 01/08/2026 à 31/08/2026) Vencimento: 26/09/2026 Brazilian Tax Information: Valor estimado dos tributos IBS e CBS, conforme disposto no art. 12 da Lei Complementar nº 214/2025 (Reforma Tributária sobre Consumo): R$1.64 (1%)</v>
          </cell>
          <cell r="V381">
            <v>163.57</v>
          </cell>
          <cell r="W381">
            <v>3.27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163.57</v>
          </cell>
          <cell r="AC381">
            <v>0</v>
          </cell>
          <cell r="AD381">
            <v>0</v>
          </cell>
          <cell r="AE381" t="str">
            <v>Sim</v>
          </cell>
        </row>
        <row r="382">
          <cell r="F382">
            <v>122561</v>
          </cell>
          <cell r="G382">
            <v>236993</v>
          </cell>
          <cell r="H382">
            <v>22134988000114</v>
          </cell>
          <cell r="I382" t="str">
            <v>MOITINHO AUTOMOVEIS LTDA</v>
          </cell>
          <cell r="J382" t="str">
            <v>AVENIDA DOM HELDER CAMARA</v>
          </cell>
          <cell r="K382">
            <v>6523</v>
          </cell>
          <cell r="L382" t="str">
            <v>: RUA DJAL MA DUTRA</v>
          </cell>
          <cell r="M382" t="str">
            <v>PILARES</v>
          </cell>
          <cell r="N382" t="str">
            <v>RIO DE JANEIRO</v>
          </cell>
          <cell r="O382" t="str">
            <v>RJ</v>
          </cell>
          <cell r="Q382">
            <v>20771002</v>
          </cell>
          <cell r="R382">
            <v>170102220</v>
          </cell>
          <cell r="S382">
            <v>2</v>
          </cell>
          <cell r="T382">
            <v>2</v>
          </cell>
          <cell r="U382" t="str">
            <v>AntiFraude: Transações: 0 - Total: R$ 499,87 (Cobrança pelo mínimo mensal) (Período de apuração: 01/08/2026 à 31/08/2026) Vencimento: 26/09/2026 Brazilian Tax Information: Valor estimado dos tributos IBS e CBS, conforme disposto no art. 12 da Lei Complementar nº 214/2025 (Reforma Tributária sobre Consumo): R$5.10 (1%)</v>
          </cell>
          <cell r="V382">
            <v>510.07</v>
          </cell>
          <cell r="W382">
            <v>10.199999999999999</v>
          </cell>
          <cell r="X382">
            <v>0</v>
          </cell>
          <cell r="Y382">
            <v>3.32</v>
          </cell>
          <cell r="Z382">
            <v>15.3</v>
          </cell>
          <cell r="AA382">
            <v>5.0999999999999996</v>
          </cell>
          <cell r="AB382">
            <v>510.07</v>
          </cell>
          <cell r="AC382">
            <v>0</v>
          </cell>
          <cell r="AD382">
            <v>0</v>
          </cell>
          <cell r="AE382" t="str">
            <v>Sim</v>
          </cell>
        </row>
        <row r="383">
          <cell r="F383">
            <v>122562</v>
          </cell>
          <cell r="G383">
            <v>236979</v>
          </cell>
          <cell r="H383">
            <v>8298672000137</v>
          </cell>
          <cell r="I383" t="str">
            <v>MERCOSUL VEICULOS LTDA</v>
          </cell>
          <cell r="J383" t="str">
            <v>RUA AMARILDO JOSE DA ROSA</v>
          </cell>
          <cell r="K383">
            <v>700</v>
          </cell>
          <cell r="M383" t="str">
            <v>HUMAITA</v>
          </cell>
          <cell r="N383" t="str">
            <v>TUBARAO</v>
          </cell>
          <cell r="O383" t="str">
            <v>SC</v>
          </cell>
          <cell r="Q383">
            <v>88704460</v>
          </cell>
          <cell r="R383">
            <v>170102220</v>
          </cell>
          <cell r="S383">
            <v>2</v>
          </cell>
          <cell r="T383">
            <v>2</v>
          </cell>
          <cell r="U383" t="str">
            <v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383">
            <v>528.74</v>
          </cell>
          <cell r="W383">
            <v>10.57</v>
          </cell>
          <cell r="X383">
            <v>0</v>
          </cell>
          <cell r="Y383">
            <v>3.44</v>
          </cell>
          <cell r="Z383">
            <v>15.86</v>
          </cell>
          <cell r="AA383">
            <v>5.29</v>
          </cell>
          <cell r="AB383">
            <v>528.74</v>
          </cell>
          <cell r="AC383">
            <v>0</v>
          </cell>
          <cell r="AD383">
            <v>0</v>
          </cell>
          <cell r="AE383" t="str">
            <v>Sim</v>
          </cell>
        </row>
        <row r="384">
          <cell r="F384">
            <v>122563</v>
          </cell>
          <cell r="G384">
            <v>236994</v>
          </cell>
          <cell r="H384">
            <v>2447949000160</v>
          </cell>
          <cell r="I384" t="str">
            <v>IE INTERNATIONAL EDUCATION S.A.</v>
          </cell>
          <cell r="J384" t="str">
            <v>RUA CHOPIN</v>
          </cell>
          <cell r="K384">
            <v>42</v>
          </cell>
          <cell r="M384" t="str">
            <v>BARRO VERMELHO</v>
          </cell>
          <cell r="N384" t="str">
            <v>VITORIA</v>
          </cell>
          <cell r="O384" t="str">
            <v>ES</v>
          </cell>
          <cell r="Q384">
            <v>29057580</v>
          </cell>
          <cell r="R384">
            <v>170102220</v>
          </cell>
          <cell r="S384">
            <v>2</v>
          </cell>
          <cell r="T384">
            <v>2</v>
          </cell>
          <cell r="U384" t="str">
            <v>AntiFraude: Transações: 11 - Total: R$ 164,69 (Cobrança pelo mínimo mensal) (Período de apuração: 01/08/2026 à 31/08/2026) Vencimento: 26/09/2026 Brazilian Tax Information: Valor estimado dos tributos IBS e CBS, conforme disposto no art. 12 da Lei Complementar nº 214/2025 (Reforma Tributária sobre Consumo): R$1.68 (1%)</v>
          </cell>
          <cell r="V384">
            <v>168.05</v>
          </cell>
          <cell r="W384">
            <v>3.36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168.05</v>
          </cell>
          <cell r="AC384">
            <v>0</v>
          </cell>
          <cell r="AD384">
            <v>0</v>
          </cell>
          <cell r="AE384" t="str">
            <v>Sim</v>
          </cell>
        </row>
        <row r="385">
          <cell r="F385">
            <v>122564</v>
          </cell>
          <cell r="G385">
            <v>236986</v>
          </cell>
          <cell r="H385">
            <v>55395735000153</v>
          </cell>
          <cell r="I385" t="str">
            <v>MAZZAROPI HOTEIS E SERVICOS LTDA</v>
          </cell>
          <cell r="J385" t="str">
            <v>ESTRADA MUNICIPAL DOS REMEDIOS</v>
          </cell>
          <cell r="K385">
            <v>2380</v>
          </cell>
          <cell r="M385" t="str">
            <v>REMEDIOS</v>
          </cell>
          <cell r="N385" t="str">
            <v>TAUBATE</v>
          </cell>
          <cell r="O385" t="str">
            <v>SP</v>
          </cell>
          <cell r="Q385">
            <v>12086020</v>
          </cell>
          <cell r="R385">
            <v>170102220</v>
          </cell>
          <cell r="S385">
            <v>2</v>
          </cell>
          <cell r="T385">
            <v>2</v>
          </cell>
          <cell r="U385" t="str">
            <v>AntiFraude: Transações: 0 - Total: R$ 152,00 (Cobrança pelo mínimo mensal) Analista de Risco: R$ 3.530,57 (Período de apuração: 01/08/2026 à 31/08/2026) Vencimento: 26/09/2026 Brazilian Tax Information: Valor estimado dos tributos IBS e CBS, conforme disposto no art. 12 da Lei Complementar nº 214/2025 (Reforma Tributária sobre Consumo): R$1.55 (1%)</v>
          </cell>
          <cell r="V385">
            <v>3757.72</v>
          </cell>
          <cell r="W385">
            <v>75.150000000000006</v>
          </cell>
          <cell r="X385">
            <v>56.37</v>
          </cell>
          <cell r="Y385">
            <v>24.43</v>
          </cell>
          <cell r="Z385">
            <v>112.73</v>
          </cell>
          <cell r="AA385">
            <v>37.58</v>
          </cell>
          <cell r="AB385">
            <v>3757.72</v>
          </cell>
          <cell r="AC385">
            <v>0</v>
          </cell>
          <cell r="AD385">
            <v>0</v>
          </cell>
          <cell r="AE385" t="str">
            <v>Cancelada</v>
          </cell>
        </row>
        <row r="386">
          <cell r="F386">
            <v>122565</v>
          </cell>
          <cell r="G386">
            <v>236987</v>
          </cell>
          <cell r="H386">
            <v>4703383000115</v>
          </cell>
          <cell r="I386" t="str">
            <v>H. G. HERRERA LTDA</v>
          </cell>
          <cell r="J386" t="str">
            <v>RUA AMAZONAS</v>
          </cell>
          <cell r="K386">
            <v>3245</v>
          </cell>
          <cell r="M386" t="str">
            <v>PATRIMONIO NOVO</v>
          </cell>
          <cell r="N386" t="str">
            <v>VOTUPORANGA</v>
          </cell>
          <cell r="O386" t="str">
            <v>SP</v>
          </cell>
          <cell r="Q386">
            <v>15500004</v>
          </cell>
          <cell r="R386">
            <v>170102220</v>
          </cell>
          <cell r="S386">
            <v>2</v>
          </cell>
          <cell r="T386">
            <v>2</v>
          </cell>
          <cell r="U386" t="str">
            <v>AntiFraude: Transações: 0 - Total: R$ 166,16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v>
          </cell>
          <cell r="V386">
            <v>169.55</v>
          </cell>
          <cell r="W386">
            <v>3.39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169.55</v>
          </cell>
          <cell r="AC386">
            <v>0</v>
          </cell>
          <cell r="AD386">
            <v>0</v>
          </cell>
          <cell r="AE386" t="str">
            <v>Sim</v>
          </cell>
        </row>
        <row r="387">
          <cell r="F387">
            <v>122566</v>
          </cell>
          <cell r="G387">
            <v>236988</v>
          </cell>
          <cell r="H387">
            <v>16991645000173</v>
          </cell>
          <cell r="I387" t="str">
            <v>HSYSTEM TECNOLOGIA LTDA</v>
          </cell>
          <cell r="J387" t="str">
            <v>RUA PATRICIO FARIAS</v>
          </cell>
          <cell r="K387">
            <v>131</v>
          </cell>
          <cell r="L387" t="str">
            <v>SALA 02</v>
          </cell>
          <cell r="M387" t="str">
            <v>ITACORUBI</v>
          </cell>
          <cell r="N387" t="str">
            <v>FLORIANOPOLIS</v>
          </cell>
          <cell r="O387" t="str">
            <v>SC</v>
          </cell>
          <cell r="Q387">
            <v>88034132</v>
          </cell>
          <cell r="R387">
            <v>170102220</v>
          </cell>
          <cell r="S387">
            <v>2</v>
          </cell>
          <cell r="T387">
            <v>2</v>
          </cell>
          <cell r="U387" t="str">
            <v>AntiFraude: Transações: 0 - Total: R$ 159,61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v>
          </cell>
          <cell r="V387">
            <v>162.87</v>
          </cell>
          <cell r="W387">
            <v>3.26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162.87</v>
          </cell>
          <cell r="AC387">
            <v>0</v>
          </cell>
          <cell r="AD387">
            <v>0</v>
          </cell>
          <cell r="AE387" t="str">
            <v>Sim</v>
          </cell>
        </row>
        <row r="388">
          <cell r="F388">
            <v>122567</v>
          </cell>
          <cell r="G388">
            <v>236989</v>
          </cell>
          <cell r="H388">
            <v>12400169000118</v>
          </cell>
          <cell r="I388" t="str">
            <v>MACROPORT DISTRIBUIDORA LTDA</v>
          </cell>
          <cell r="J388" t="str">
            <v>AVENIDA PAULISTA</v>
          </cell>
          <cell r="K388">
            <v>967</v>
          </cell>
          <cell r="L388" t="str">
            <v>ANDAR 10 S ALA 1</v>
          </cell>
          <cell r="M388" t="str">
            <v>BELA VISTA</v>
          </cell>
          <cell r="N388" t="str">
            <v>SAO PAULO</v>
          </cell>
          <cell r="O388" t="str">
            <v>SP</v>
          </cell>
          <cell r="Q388">
            <v>1311918</v>
          </cell>
          <cell r="R388">
            <v>170102220</v>
          </cell>
          <cell r="S388">
            <v>2</v>
          </cell>
          <cell r="T388">
            <v>2</v>
          </cell>
          <cell r="U388" t="str">
            <v>AntiFraude: Transações: 0 - Total: R$ 172,06 (Cobrança pelo mínimo mensal) (Período de apuração: 01/08/2026 à 31/08/2026) Vencimento: 26/09/2026 Brazilian Tax Information: Valor estimado dos tributos IBS e CBS, conforme disposto no art. 12 da Lei Complementar nº 214/2025 (Reforma Tributária sobre Consumo): R$1.76 (1%)</v>
          </cell>
          <cell r="V388">
            <v>175.57</v>
          </cell>
          <cell r="W388">
            <v>3.51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175.57</v>
          </cell>
          <cell r="AC388">
            <v>0</v>
          </cell>
          <cell r="AD388">
            <v>0</v>
          </cell>
          <cell r="AE388" t="str">
            <v>Sim</v>
          </cell>
        </row>
        <row r="389">
          <cell r="F389">
            <v>122568</v>
          </cell>
          <cell r="G389">
            <v>236977</v>
          </cell>
          <cell r="H389">
            <v>14156965000182</v>
          </cell>
          <cell r="I389" t="str">
            <v>LOLA LICENCIAMENTOS E FRANQUIAS LTDA</v>
          </cell>
          <cell r="J389" t="str">
            <v>SETOR SAA CL QUADRA 03, BLOCO D, LOJA 29, TERREO</v>
          </cell>
          <cell r="K389" t="str">
            <v>S/N</v>
          </cell>
          <cell r="L389" t="str">
            <v>PARTE 02</v>
          </cell>
          <cell r="M389" t="str">
            <v>SAA</v>
          </cell>
          <cell r="N389" t="str">
            <v>BRASILIA</v>
          </cell>
          <cell r="O389" t="str">
            <v>DF</v>
          </cell>
          <cell r="Q389">
            <v>70632300</v>
          </cell>
          <cell r="R389">
            <v>170102220</v>
          </cell>
          <cell r="S389">
            <v>2</v>
          </cell>
          <cell r="T389">
            <v>2</v>
          </cell>
          <cell r="U389" t="str">
            <v>AntiFraude: Transações: 0 - Total: R$ 401,48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v>
          </cell>
          <cell r="V389">
            <v>409.67</v>
          </cell>
          <cell r="W389">
            <v>8.19</v>
          </cell>
          <cell r="X389">
            <v>0</v>
          </cell>
          <cell r="Y389">
            <v>2.66</v>
          </cell>
          <cell r="Z389">
            <v>12.29</v>
          </cell>
          <cell r="AA389">
            <v>4.0999999999999996</v>
          </cell>
          <cell r="AB389">
            <v>409.67</v>
          </cell>
          <cell r="AC389">
            <v>0</v>
          </cell>
          <cell r="AD389">
            <v>0</v>
          </cell>
          <cell r="AE389" t="str">
            <v>Sim</v>
          </cell>
        </row>
        <row r="390">
          <cell r="F390">
            <v>122569</v>
          </cell>
          <cell r="G390">
            <v>237001</v>
          </cell>
          <cell r="H390">
            <v>44030913000126</v>
          </cell>
          <cell r="I390" t="str">
            <v>MANDUI FOODS LTDA</v>
          </cell>
          <cell r="J390" t="str">
            <v>RUA CLODOMIRO AMAZONAS</v>
          </cell>
          <cell r="K390">
            <v>1158</v>
          </cell>
          <cell r="L390" t="str">
            <v>LOJA 26</v>
          </cell>
          <cell r="M390" t="str">
            <v>VILA NOVA CONCEICAO</v>
          </cell>
          <cell r="N390" t="str">
            <v>SAO PAULO</v>
          </cell>
          <cell r="O390" t="str">
            <v>SP</v>
          </cell>
          <cell r="Q390">
            <v>4537901</v>
          </cell>
          <cell r="R390">
            <v>170102220</v>
          </cell>
          <cell r="S390">
            <v>2</v>
          </cell>
          <cell r="T390">
            <v>2</v>
          </cell>
          <cell r="U390" t="str">
            <v>AntiFraude: Transações: 0 - Total: R$ 144,76 (Cobrança pelo mínimo mensal) (Período de apuração: 01/08/2026 à 31/08/2026) Vencimento: 26/09/2026 Brazilian Tax Information: Valor estimado dos tributos IBS e CBS, conforme disposto no art. 12 da Lei Complementar nº 214/2025 (Reforma Tributária sobre Consumo): R$1.48 (1%)</v>
          </cell>
          <cell r="V390">
            <v>147.71</v>
          </cell>
          <cell r="W390">
            <v>2.95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147.71</v>
          </cell>
          <cell r="AC390">
            <v>0</v>
          </cell>
          <cell r="AD390">
            <v>0</v>
          </cell>
          <cell r="AE390" t="str">
            <v>Sim</v>
          </cell>
        </row>
        <row r="391">
          <cell r="F391">
            <v>122570</v>
          </cell>
          <cell r="G391">
            <v>237010</v>
          </cell>
          <cell r="H391">
            <v>74052085001917</v>
          </cell>
          <cell r="I391" t="str">
            <v>HOT SAT TELECOMUNICACOES LTDA</v>
          </cell>
          <cell r="J391" t="str">
            <v>RODOVIA ANHANGUERA, KM 31,7</v>
          </cell>
          <cell r="K391">
            <v>800</v>
          </cell>
          <cell r="L391" t="str">
            <v>BLOCO 300 GALPAO21 E</v>
          </cell>
          <cell r="M391" t="str">
            <v>EMPRESARIAL ANHANGUERA</v>
          </cell>
          <cell r="N391" t="str">
            <v>CAJAMAR</v>
          </cell>
          <cell r="O391" t="str">
            <v>SP</v>
          </cell>
          <cell r="Q391">
            <v>7753580</v>
          </cell>
          <cell r="R391">
            <v>170102220</v>
          </cell>
          <cell r="S391">
            <v>2</v>
          </cell>
          <cell r="T391">
            <v>2</v>
          </cell>
          <cell r="U391" t="str">
            <v>AntiFraude: Transações: 0 - Total: R$ 335,28 (Cobrança pelo mínimo mensal) (Período de apuração: 01/08/2026 à 31/08/2026) Vencimento: 26/09/2026 Brazilian Tax Information: Valor estimado dos tributos IBS e CBS, conforme disposto no art. 12 da Lei Complementar nº 214/2025 (Reforma Tributária sobre Consumo): R$3.42 (1%)</v>
          </cell>
          <cell r="V391">
            <v>342.12</v>
          </cell>
          <cell r="W391">
            <v>6.84</v>
          </cell>
          <cell r="X391">
            <v>0</v>
          </cell>
          <cell r="Y391">
            <v>2.2200000000000002</v>
          </cell>
          <cell r="Z391">
            <v>10.26</v>
          </cell>
          <cell r="AA391">
            <v>3.42</v>
          </cell>
          <cell r="AB391">
            <v>342.12</v>
          </cell>
          <cell r="AC391">
            <v>0</v>
          </cell>
          <cell r="AD391">
            <v>0</v>
          </cell>
          <cell r="AE391" t="str">
            <v>Sim</v>
          </cell>
        </row>
        <row r="392">
          <cell r="F392">
            <v>122571</v>
          </cell>
          <cell r="G392">
            <v>236976</v>
          </cell>
          <cell r="H392">
            <v>26520188000192</v>
          </cell>
          <cell r="I392" t="str">
            <v>INSIDER COMERCIO E CONFECCAO DE PECAS DO VESTUARIO LTDA</v>
          </cell>
          <cell r="J392" t="str">
            <v>RUA DIOGO VAZ</v>
          </cell>
          <cell r="K392">
            <v>291</v>
          </cell>
          <cell r="M392" t="str">
            <v>CAMBUCI</v>
          </cell>
          <cell r="N392" t="str">
            <v>SAO PAULO</v>
          </cell>
          <cell r="O392" t="str">
            <v>SP</v>
          </cell>
          <cell r="Q392">
            <v>1527020</v>
          </cell>
          <cell r="R392">
            <v>170102220</v>
          </cell>
          <cell r="S392">
            <v>2</v>
          </cell>
          <cell r="T392">
            <v>2</v>
          </cell>
          <cell r="U392" t="str">
            <v>AntiFraude: Transações: 0 - Total: R$ 29.050,00 (Cobrança pelo mínimo mensal) Analista de Risco: R$ 8.668,77 (Período de apuração: 01/08/2026 à 31/08/2026) Vencimento: 26/09/2026 Brazilian Tax Information: Valor estimado dos tributos IBS e CBS, conforme disposto no art. 12 da Lei Complementar nº 214/2025 (Reforma Tributária sobre Consumo): R$296.43 (1%)</v>
          </cell>
          <cell r="V392">
            <v>38488.54</v>
          </cell>
          <cell r="W392">
            <v>769.77</v>
          </cell>
          <cell r="X392">
            <v>577.33000000000004</v>
          </cell>
          <cell r="Y392">
            <v>250.18</v>
          </cell>
          <cell r="Z392">
            <v>1154.6600000000001</v>
          </cell>
          <cell r="AA392">
            <v>384.89</v>
          </cell>
          <cell r="AB392">
            <v>38488.54</v>
          </cell>
          <cell r="AC392">
            <v>0</v>
          </cell>
          <cell r="AD392">
            <v>0</v>
          </cell>
          <cell r="AE392" t="str">
            <v>Sim</v>
          </cell>
        </row>
        <row r="393">
          <cell r="F393">
            <v>122572</v>
          </cell>
          <cell r="G393">
            <v>236995</v>
          </cell>
          <cell r="H393">
            <v>50786467000187</v>
          </cell>
          <cell r="I393" t="str">
            <v>KARAMELLO RIO ROUPAS LTDA</v>
          </cell>
          <cell r="J393" t="str">
            <v>RUA CESAR LADEIRA</v>
          </cell>
          <cell r="K393" t="str">
            <v>SN</v>
          </cell>
          <cell r="L393" t="str">
            <v>QUADRAE LO TE 7 LOJA</v>
          </cell>
          <cell r="M393" t="str">
            <v>PARQUE VITORIA</v>
          </cell>
          <cell r="N393" t="str">
            <v>DUQUE DE CAXIAS</v>
          </cell>
          <cell r="O393" t="str">
            <v>RJ</v>
          </cell>
          <cell r="Q393">
            <v>25045510</v>
          </cell>
          <cell r="R393">
            <v>170102220</v>
          </cell>
          <cell r="S393">
            <v>2</v>
          </cell>
          <cell r="T393">
            <v>2</v>
          </cell>
          <cell r="U393" t="str">
            <v>AntiFraude: Transações: 0 - Total: R$ 246,91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v>
          </cell>
          <cell r="V393">
            <v>251.95</v>
          </cell>
          <cell r="W393">
            <v>5.04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251.95</v>
          </cell>
          <cell r="AC393">
            <v>0</v>
          </cell>
          <cell r="AD393">
            <v>0</v>
          </cell>
          <cell r="AE393" t="str">
            <v>Sim</v>
          </cell>
        </row>
        <row r="394">
          <cell r="F394">
            <v>122573</v>
          </cell>
          <cell r="G394">
            <v>237034</v>
          </cell>
          <cell r="H394">
            <v>5886844000367</v>
          </cell>
          <cell r="I394" t="str">
            <v>MORIKAWA COMERCIO DE RACOES E IMPORTACAO LTDA</v>
          </cell>
          <cell r="J394" t="str">
            <v>AVENIDA JORGE ZARUR</v>
          </cell>
          <cell r="K394">
            <v>531</v>
          </cell>
          <cell r="M394" t="str">
            <v>JD APOLOS</v>
          </cell>
          <cell r="N394" t="str">
            <v>SAO JOSE DOS CAMPOS</v>
          </cell>
          <cell r="O394" t="str">
            <v>SP</v>
          </cell>
          <cell r="Q394">
            <v>12243081</v>
          </cell>
          <cell r="R394">
            <v>170102220</v>
          </cell>
          <cell r="S394">
            <v>2</v>
          </cell>
          <cell r="T394">
            <v>2</v>
          </cell>
          <cell r="U394" t="str">
            <v>AntiFraude: Transações: 842 - Total: R$ 1.800,00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R$18.37 (1%)</v>
          </cell>
          <cell r="V394">
            <v>1836.74</v>
          </cell>
          <cell r="W394">
            <v>36.729999999999997</v>
          </cell>
          <cell r="X394">
            <v>27.55</v>
          </cell>
          <cell r="Y394">
            <v>11.94</v>
          </cell>
          <cell r="Z394">
            <v>55.1</v>
          </cell>
          <cell r="AA394">
            <v>18.37</v>
          </cell>
          <cell r="AB394">
            <v>1836.74</v>
          </cell>
          <cell r="AC394">
            <v>0</v>
          </cell>
          <cell r="AD394">
            <v>0</v>
          </cell>
          <cell r="AE394" t="str">
            <v>Sim</v>
          </cell>
        </row>
        <row r="395">
          <cell r="F395">
            <v>122574</v>
          </cell>
          <cell r="G395">
            <v>237057</v>
          </cell>
          <cell r="H395">
            <v>53816563000119</v>
          </cell>
          <cell r="I395" t="str">
            <v>MONACO PECAS LTDA</v>
          </cell>
          <cell r="J395" t="str">
            <v>RODOVIA BR-364, KM 396, REGIAO SUL</v>
          </cell>
          <cell r="K395">
            <v>3960</v>
          </cell>
          <cell r="L395" t="str">
            <v>ANEXO MONA CO CAMINH</v>
          </cell>
          <cell r="M395" t="str">
            <v>A.E.U</v>
          </cell>
          <cell r="N395" t="str">
            <v>CUIABA</v>
          </cell>
          <cell r="O395" t="str">
            <v>MT</v>
          </cell>
          <cell r="Q395">
            <v>78099899</v>
          </cell>
          <cell r="R395">
            <v>170102220</v>
          </cell>
          <cell r="S395">
            <v>2</v>
          </cell>
          <cell r="T395">
            <v>2</v>
          </cell>
          <cell r="U395" t="str">
            <v>AntiFraude: Transações: 0 -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v>
          </cell>
          <cell r="V395">
            <v>173.47</v>
          </cell>
          <cell r="W395">
            <v>3.47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173.47</v>
          </cell>
          <cell r="AC395">
            <v>0</v>
          </cell>
          <cell r="AD395">
            <v>0</v>
          </cell>
          <cell r="AE395" t="str">
            <v>Sim</v>
          </cell>
        </row>
        <row r="396">
          <cell r="F396">
            <v>122575</v>
          </cell>
          <cell r="G396">
            <v>237027</v>
          </cell>
          <cell r="H396">
            <v>4521258002480</v>
          </cell>
          <cell r="I396" t="str">
            <v>J CRUZ LTDA</v>
          </cell>
          <cell r="J396" t="str">
            <v>RUA BOULEVARD THAUMATURGO</v>
          </cell>
          <cell r="K396">
            <v>858</v>
          </cell>
          <cell r="M396" t="str">
            <v>CENTRO</v>
          </cell>
          <cell r="N396" t="str">
            <v>CRUZEIRO DO SUL</v>
          </cell>
          <cell r="O396" t="str">
            <v>AC</v>
          </cell>
          <cell r="Q396">
            <v>69980000</v>
          </cell>
          <cell r="R396">
            <v>170102220</v>
          </cell>
          <cell r="S396">
            <v>2</v>
          </cell>
          <cell r="T396">
            <v>2</v>
          </cell>
          <cell r="U396" t="str">
            <v>AntiFraude: Transações: 3 -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396">
            <v>5.14</v>
          </cell>
          <cell r="W396">
            <v>0.1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5.14</v>
          </cell>
          <cell r="AC396">
            <v>0</v>
          </cell>
          <cell r="AD396">
            <v>0</v>
          </cell>
          <cell r="AE396" t="str">
            <v>Sim</v>
          </cell>
        </row>
        <row r="397">
          <cell r="F397">
            <v>122576</v>
          </cell>
          <cell r="G397">
            <v>237054</v>
          </cell>
          <cell r="H397">
            <v>4521258002995</v>
          </cell>
          <cell r="I397" t="str">
            <v>J CRUZ LTDA</v>
          </cell>
          <cell r="J397" t="str">
            <v>RUA RIO DE JANEIRO</v>
          </cell>
          <cell r="K397">
            <v>1621</v>
          </cell>
          <cell r="M397" t="str">
            <v>CONJUNTO MASCARENHAS DE MORAES</v>
          </cell>
          <cell r="N397" t="str">
            <v>RIO BRANCO</v>
          </cell>
          <cell r="O397" t="str">
            <v>AC</v>
          </cell>
          <cell r="Q397">
            <v>69918012</v>
          </cell>
          <cell r="R397">
            <v>170102220</v>
          </cell>
          <cell r="S397">
            <v>2</v>
          </cell>
          <cell r="T397">
            <v>2</v>
          </cell>
          <cell r="U39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397">
            <v>5.14</v>
          </cell>
          <cell r="W397">
            <v>0.1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5.14</v>
          </cell>
          <cell r="AC397">
            <v>0</v>
          </cell>
          <cell r="AD397">
            <v>0</v>
          </cell>
          <cell r="AE397" t="str">
            <v>Sim</v>
          </cell>
        </row>
        <row r="398">
          <cell r="F398">
            <v>122577</v>
          </cell>
          <cell r="G398">
            <v>237042</v>
          </cell>
          <cell r="H398">
            <v>51146565000112</v>
          </cell>
          <cell r="I398" t="str">
            <v>MADEL HOME COMERCIO DE MOVEIS E DECORACOES LTDA</v>
          </cell>
          <cell r="J398" t="str">
            <v>RUA SILVA JARDIM</v>
          </cell>
          <cell r="K398">
            <v>187</v>
          </cell>
          <cell r="L398" t="str">
            <v>SALA 83</v>
          </cell>
          <cell r="M398" t="str">
            <v>CENTRO</v>
          </cell>
          <cell r="N398" t="str">
            <v>SAO BERNARDO DO CAMPO</v>
          </cell>
          <cell r="O398" t="str">
            <v>SP</v>
          </cell>
          <cell r="Q398">
            <v>9715090</v>
          </cell>
          <cell r="R398">
            <v>170102220</v>
          </cell>
          <cell r="S398">
            <v>2</v>
          </cell>
          <cell r="T398">
            <v>2</v>
          </cell>
          <cell r="U398" t="str">
            <v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v>
          </cell>
          <cell r="V398">
            <v>203.17</v>
          </cell>
          <cell r="W398">
            <v>4.0599999999999996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203.17</v>
          </cell>
          <cell r="AC398">
            <v>0</v>
          </cell>
          <cell r="AD398">
            <v>0</v>
          </cell>
          <cell r="AE398" t="str">
            <v>Sim</v>
          </cell>
        </row>
        <row r="399">
          <cell r="F399">
            <v>122578</v>
          </cell>
          <cell r="G399">
            <v>237018</v>
          </cell>
          <cell r="H399">
            <v>28130849000107</v>
          </cell>
          <cell r="I399" t="str">
            <v>LOJAS ESTRELA DO LAR LTDA</v>
          </cell>
          <cell r="J399" t="str">
            <v>RUA DOUTOR JORGE WINTHER</v>
          </cell>
          <cell r="K399">
            <v>103</v>
          </cell>
          <cell r="M399" t="str">
            <v>CENTRO</v>
          </cell>
          <cell r="N399" t="str">
            <v>TAUBATE</v>
          </cell>
          <cell r="O399" t="str">
            <v>SP</v>
          </cell>
          <cell r="Q399">
            <v>12010150</v>
          </cell>
          <cell r="R399">
            <v>170102220</v>
          </cell>
          <cell r="S399">
            <v>2</v>
          </cell>
          <cell r="T399">
            <v>2</v>
          </cell>
          <cell r="U399" t="str">
            <v>AntiFraude: Transações: 0 - Total: R$ 150,84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v>
          </cell>
          <cell r="V399">
            <v>153.91999999999999</v>
          </cell>
          <cell r="W399">
            <v>3.08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153.91999999999999</v>
          </cell>
          <cell r="AC399">
            <v>0</v>
          </cell>
          <cell r="AD399">
            <v>0</v>
          </cell>
          <cell r="AE399" t="str">
            <v>Sim</v>
          </cell>
        </row>
        <row r="400">
          <cell r="F400">
            <v>122579</v>
          </cell>
          <cell r="G400">
            <v>237028</v>
          </cell>
          <cell r="H400">
            <v>12550675000193</v>
          </cell>
          <cell r="I400" t="str">
            <v>MAXI POPULAR DOURADOS COMERCIO DE MEDICAMENTOS LTDA</v>
          </cell>
          <cell r="J400" t="str">
            <v>AVENIDA MARCELINO PIRES</v>
          </cell>
          <cell r="K400">
            <v>3066</v>
          </cell>
          <cell r="L400" t="str">
            <v>SALA 001</v>
          </cell>
          <cell r="M400" t="str">
            <v>VILA HELENA</v>
          </cell>
          <cell r="N400" t="str">
            <v>DOURADOS</v>
          </cell>
          <cell r="O400" t="str">
            <v>MS</v>
          </cell>
          <cell r="Q400">
            <v>79800003</v>
          </cell>
          <cell r="R400">
            <v>170102220</v>
          </cell>
          <cell r="S400">
            <v>2</v>
          </cell>
          <cell r="T400">
            <v>2</v>
          </cell>
          <cell r="U400" t="str">
            <v>AntiFraude: Transações: 152 - Tarifa: R$ 0,5631 - Total: R$ 85,59 (Período de apuração: 01/08/2026 à 31/08/2026) Vencimento: 26/09/2026 Brazilian Tax Information: Valor estimado dos tributos IBS e CBS, conforme disposto no art. 12 da Lei Complementar nº 214/2025 (Reforma Tributária sobre Consumo): R$0.87 (1%)</v>
          </cell>
          <cell r="V400">
            <v>87.34</v>
          </cell>
          <cell r="W400">
            <v>1.75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87.34</v>
          </cell>
          <cell r="AC400">
            <v>0</v>
          </cell>
          <cell r="AD400">
            <v>0</v>
          </cell>
          <cell r="AE400" t="str">
            <v>Sim</v>
          </cell>
        </row>
        <row r="401">
          <cell r="F401">
            <v>122580</v>
          </cell>
          <cell r="G401">
            <v>237020</v>
          </cell>
          <cell r="H401">
            <v>21593391000175</v>
          </cell>
          <cell r="I401" t="str">
            <v>M A COMERCIAL DE MEDICAMENTOS LTDA</v>
          </cell>
          <cell r="J401" t="str">
            <v>RODOVIA BR-222</v>
          </cell>
          <cell r="K401">
            <v>7310</v>
          </cell>
          <cell r="L401" t="str">
            <v>KM 5 - LOJ A 1</v>
          </cell>
          <cell r="M401" t="str">
            <v>TABAPUA</v>
          </cell>
          <cell r="N401" t="str">
            <v>CAUCAIA</v>
          </cell>
          <cell r="O401" t="str">
            <v>CE</v>
          </cell>
          <cell r="Q401">
            <v>61635365</v>
          </cell>
          <cell r="R401">
            <v>170102220</v>
          </cell>
          <cell r="S401">
            <v>2</v>
          </cell>
          <cell r="T401">
            <v>2</v>
          </cell>
          <cell r="U401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1">
            <v>5.17</v>
          </cell>
          <cell r="W401">
            <v>0.1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5.17</v>
          </cell>
          <cell r="AC401">
            <v>0</v>
          </cell>
          <cell r="AD401">
            <v>0</v>
          </cell>
          <cell r="AE401" t="str">
            <v>Sim</v>
          </cell>
        </row>
        <row r="402">
          <cell r="F402">
            <v>122581</v>
          </cell>
          <cell r="G402">
            <v>237036</v>
          </cell>
          <cell r="H402">
            <v>4521258003533</v>
          </cell>
          <cell r="I402" t="str">
            <v>J CRUZ LTDA</v>
          </cell>
          <cell r="J402" t="str">
            <v>AVENIDA GETULIO VARGAS</v>
          </cell>
          <cell r="K402">
            <v>2255</v>
          </cell>
          <cell r="M402" t="str">
            <v>BOSQUE</v>
          </cell>
          <cell r="N402" t="str">
            <v>RIO BRANCO</v>
          </cell>
          <cell r="O402" t="str">
            <v>AC</v>
          </cell>
          <cell r="Q402">
            <v>69900607</v>
          </cell>
          <cell r="R402">
            <v>170102220</v>
          </cell>
          <cell r="S402">
            <v>2</v>
          </cell>
          <cell r="T402">
            <v>2</v>
          </cell>
          <cell r="U402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2">
            <v>5.17</v>
          </cell>
          <cell r="W402">
            <v>0.1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5.17</v>
          </cell>
          <cell r="AC402">
            <v>0</v>
          </cell>
          <cell r="AD402">
            <v>0</v>
          </cell>
          <cell r="AE402" t="str">
            <v>Sim</v>
          </cell>
        </row>
        <row r="403">
          <cell r="F403">
            <v>122582</v>
          </cell>
          <cell r="G403">
            <v>237050</v>
          </cell>
          <cell r="H403">
            <v>4521258003290</v>
          </cell>
          <cell r="I403" t="str">
            <v>J CRUZ LTDA</v>
          </cell>
          <cell r="J403" t="str">
            <v>RODOVIA AC-40</v>
          </cell>
          <cell r="K403">
            <v>2368</v>
          </cell>
          <cell r="M403" t="str">
            <v>VILA DA AMIZADE</v>
          </cell>
          <cell r="N403" t="str">
            <v>RIO BRANCO</v>
          </cell>
          <cell r="O403" t="str">
            <v>AC</v>
          </cell>
          <cell r="Q403">
            <v>69909640</v>
          </cell>
          <cell r="R403">
            <v>170102220</v>
          </cell>
          <cell r="S403">
            <v>2</v>
          </cell>
          <cell r="T403">
            <v>2</v>
          </cell>
          <cell r="U403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3">
            <v>5.17</v>
          </cell>
          <cell r="W403">
            <v>0.1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5.17</v>
          </cell>
          <cell r="AC403">
            <v>0</v>
          </cell>
          <cell r="AD403">
            <v>0</v>
          </cell>
          <cell r="AE403" t="str">
            <v>Sim</v>
          </cell>
        </row>
        <row r="404">
          <cell r="F404">
            <v>122583</v>
          </cell>
          <cell r="G404">
            <v>237041</v>
          </cell>
          <cell r="H404">
            <v>4521258001913</v>
          </cell>
          <cell r="I404" t="str">
            <v>J CRUZ LTDA</v>
          </cell>
          <cell r="J404" t="str">
            <v>AVENIDA BOULEVARD THAUMATURGO</v>
          </cell>
          <cell r="K404">
            <v>216</v>
          </cell>
          <cell r="M404" t="str">
            <v>CENTRO</v>
          </cell>
          <cell r="N404" t="str">
            <v>CRUZEIRO DO SUL</v>
          </cell>
          <cell r="O404" t="str">
            <v>AC</v>
          </cell>
          <cell r="Q404">
            <v>69980000</v>
          </cell>
          <cell r="R404">
            <v>170102220</v>
          </cell>
          <cell r="S404">
            <v>2</v>
          </cell>
          <cell r="T404">
            <v>2</v>
          </cell>
          <cell r="U404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4">
            <v>5.17</v>
          </cell>
          <cell r="W404">
            <v>0.1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5.17</v>
          </cell>
          <cell r="AC404">
            <v>0</v>
          </cell>
          <cell r="AD404">
            <v>0</v>
          </cell>
          <cell r="AE404" t="str">
            <v>Sim</v>
          </cell>
        </row>
        <row r="405">
          <cell r="F405">
            <v>122584</v>
          </cell>
          <cell r="G405">
            <v>237049</v>
          </cell>
          <cell r="H405">
            <v>4521258001670</v>
          </cell>
          <cell r="I405" t="str">
            <v>J CRUZ LTDA</v>
          </cell>
          <cell r="J405" t="str">
            <v>RUA 24 DE JANEIRO</v>
          </cell>
          <cell r="K405">
            <v>14</v>
          </cell>
          <cell r="L405" t="str">
            <v>ANDAR 01</v>
          </cell>
          <cell r="M405" t="str">
            <v>SEIS DE AGOSTO</v>
          </cell>
          <cell r="N405" t="str">
            <v>RIO BRANCO</v>
          </cell>
          <cell r="O405" t="str">
            <v>AC</v>
          </cell>
          <cell r="Q405">
            <v>69905596</v>
          </cell>
          <cell r="R405">
            <v>170102220</v>
          </cell>
          <cell r="S405">
            <v>2</v>
          </cell>
          <cell r="T405">
            <v>2</v>
          </cell>
          <cell r="U405" t="str">
            <v>AntiFraude: Transações: 2 -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5">
            <v>5.17</v>
          </cell>
          <cell r="W405">
            <v>0.1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5.17</v>
          </cell>
          <cell r="AC405">
            <v>0</v>
          </cell>
          <cell r="AD405">
            <v>0</v>
          </cell>
          <cell r="AE405" t="str">
            <v>Sim</v>
          </cell>
        </row>
        <row r="406">
          <cell r="F406">
            <v>122585</v>
          </cell>
          <cell r="G406">
            <v>237039</v>
          </cell>
          <cell r="H406">
            <v>4521258001085</v>
          </cell>
          <cell r="I406" t="str">
            <v>J CRUZ LTDA</v>
          </cell>
          <cell r="J406" t="str">
            <v>VIA CHICO MENDES</v>
          </cell>
          <cell r="K406">
            <v>4170</v>
          </cell>
          <cell r="M406" t="str">
            <v>AREAL</v>
          </cell>
          <cell r="N406" t="str">
            <v>RIO BRANCO</v>
          </cell>
          <cell r="O406" t="str">
            <v>AC</v>
          </cell>
          <cell r="Q406">
            <v>69906119</v>
          </cell>
          <cell r="R406">
            <v>170102220</v>
          </cell>
          <cell r="S406">
            <v>2</v>
          </cell>
          <cell r="T406">
            <v>2</v>
          </cell>
          <cell r="U406" t="str">
            <v>AntiFraude: Transações: 8 -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6">
            <v>5.17</v>
          </cell>
          <cell r="W406">
            <v>0.1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5.17</v>
          </cell>
          <cell r="AC406">
            <v>0</v>
          </cell>
          <cell r="AD406">
            <v>0</v>
          </cell>
          <cell r="AE406" t="str">
            <v>Sim</v>
          </cell>
        </row>
        <row r="407">
          <cell r="F407">
            <v>122586</v>
          </cell>
          <cell r="G407">
            <v>237103</v>
          </cell>
          <cell r="H407">
            <v>34565893000134</v>
          </cell>
          <cell r="I407" t="str">
            <v>IRMAOS OLIVEIRA FARMACIA LTDA</v>
          </cell>
          <cell r="J407" t="str">
            <v>RUA DOUTOR ARTHUR JORGE</v>
          </cell>
          <cell r="K407">
            <v>1836</v>
          </cell>
          <cell r="L407" t="str">
            <v>LOT 02</v>
          </cell>
          <cell r="M407" t="str">
            <v>MONTE CASTELO</v>
          </cell>
          <cell r="N407" t="str">
            <v>CAMPO GRANDE</v>
          </cell>
          <cell r="O407" t="str">
            <v>MS</v>
          </cell>
          <cell r="Q407">
            <v>79010210</v>
          </cell>
          <cell r="R407">
            <v>170102220</v>
          </cell>
          <cell r="S407">
            <v>2</v>
          </cell>
          <cell r="T407">
            <v>2</v>
          </cell>
          <cell r="U407" t="str">
            <v>AntiFraude: Transações: 29 - Tarifa: R$ 0,5681 - Total: R$ 16,47 (Período de apuração: 01/08/2026 à 31/08/2026) Vencimento: 26/09/2026 Brazilian Tax Information: Valor estimado dos tributos IBS e CBS, conforme disposto no art. 12 da Lei Complementar nº 214/2025 (Reforma Tributária sobre Consumo): R$0.17 (1%)</v>
          </cell>
          <cell r="V407">
            <v>16.809999999999999</v>
          </cell>
          <cell r="W407">
            <v>0.34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16.809999999999999</v>
          </cell>
          <cell r="AC407">
            <v>0</v>
          </cell>
          <cell r="AD407">
            <v>0</v>
          </cell>
          <cell r="AE407" t="str">
            <v>Sim</v>
          </cell>
        </row>
        <row r="408">
          <cell r="F408">
            <v>122587</v>
          </cell>
          <cell r="G408">
            <v>237073</v>
          </cell>
          <cell r="H408">
            <v>5947352000172</v>
          </cell>
          <cell r="I408" t="str">
            <v>LOBATO E RIBEIRO LTDA</v>
          </cell>
          <cell r="J408" t="str">
            <v>RUA MONSENHOR MESSIAS</v>
          </cell>
          <cell r="K408">
            <v>156</v>
          </cell>
          <cell r="M408" t="str">
            <v>CENTRO</v>
          </cell>
          <cell r="N408" t="str">
            <v>SETE LAGOAS</v>
          </cell>
          <cell r="O408" t="str">
            <v>MG</v>
          </cell>
          <cell r="Q408">
            <v>35700041</v>
          </cell>
          <cell r="R408">
            <v>170102220</v>
          </cell>
          <cell r="S408">
            <v>2</v>
          </cell>
          <cell r="T408">
            <v>2</v>
          </cell>
          <cell r="U408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08">
            <v>5.21</v>
          </cell>
          <cell r="W408">
            <v>0.1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5.21</v>
          </cell>
          <cell r="AC408">
            <v>0</v>
          </cell>
          <cell r="AD408">
            <v>0</v>
          </cell>
          <cell r="AE408" t="str">
            <v>Sim</v>
          </cell>
        </row>
        <row r="409">
          <cell r="F409">
            <v>122588</v>
          </cell>
          <cell r="G409">
            <v>237101</v>
          </cell>
          <cell r="H409">
            <v>26982344000137</v>
          </cell>
          <cell r="I409" t="str">
            <v>LONEC COMERCIO VAREJISTA LTDA</v>
          </cell>
          <cell r="J409" t="str">
            <v>RUA MIGUEL ARAUJO DA SILVA</v>
          </cell>
          <cell r="K409">
            <v>84</v>
          </cell>
          <cell r="L409" t="str">
            <v>SALA 01</v>
          </cell>
          <cell r="M409" t="str">
            <v>SETOR CENTRO</v>
          </cell>
          <cell r="N409" t="str">
            <v>SANTA BARBARA DE GOIAS</v>
          </cell>
          <cell r="O409" t="str">
            <v>GO</v>
          </cell>
          <cell r="Q409">
            <v>75398000</v>
          </cell>
          <cell r="R409">
            <v>170102220</v>
          </cell>
          <cell r="S409">
            <v>2</v>
          </cell>
          <cell r="T409">
            <v>2</v>
          </cell>
          <cell r="U409" t="str">
            <v>AntiFraude: Transações: 0 - Total: R$ 269,68 (Cobrança pelo mínimo mensal) (Período de apuração: 01/08/2026 à 31/08/2026) Vencimento: 26/09/2026 Brazilian Tax Information: Valor estimado dos tributos IBS e CBS, conforme disposto no art. 12 da Lei Complementar nº 214/2025 (Reforma Tributária sobre Consumo): R$2.75 (1%)</v>
          </cell>
          <cell r="V409">
            <v>275.18</v>
          </cell>
          <cell r="W409">
            <v>5.5</v>
          </cell>
          <cell r="X409">
            <v>0</v>
          </cell>
          <cell r="Y409">
            <v>1.79</v>
          </cell>
          <cell r="Z409">
            <v>8.26</v>
          </cell>
          <cell r="AA409">
            <v>2.75</v>
          </cell>
          <cell r="AB409">
            <v>275.18</v>
          </cell>
          <cell r="AC409">
            <v>0</v>
          </cell>
          <cell r="AD409">
            <v>0</v>
          </cell>
          <cell r="AE409" t="str">
            <v>Sim</v>
          </cell>
        </row>
        <row r="410">
          <cell r="F410">
            <v>122589</v>
          </cell>
          <cell r="G410">
            <v>237075</v>
          </cell>
          <cell r="H410">
            <v>1771307000159</v>
          </cell>
          <cell r="I410" t="str">
            <v>MAC ALTO TIETE COMERCIO DE ALIMENTOS, BEBIDAS E EVENTOS LTDA</v>
          </cell>
          <cell r="J410" t="str">
            <v>VIA TOKUDA</v>
          </cell>
          <cell r="K410">
            <v>326</v>
          </cell>
          <cell r="M410" t="str">
            <v>MEU SOSSEGO</v>
          </cell>
          <cell r="N410" t="str">
            <v>SUZANO</v>
          </cell>
          <cell r="O410" t="str">
            <v>SP</v>
          </cell>
          <cell r="Q410">
            <v>8696700</v>
          </cell>
          <cell r="R410">
            <v>170102220</v>
          </cell>
          <cell r="S410">
            <v>2</v>
          </cell>
          <cell r="T410">
            <v>2</v>
          </cell>
          <cell r="U410" t="str">
            <v>AntiFraude: Transações: 0 - Total: R$ 505,64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v>
          </cell>
          <cell r="V410">
            <v>515.96</v>
          </cell>
          <cell r="W410">
            <v>10.32</v>
          </cell>
          <cell r="X410">
            <v>0</v>
          </cell>
          <cell r="Y410">
            <v>3.35</v>
          </cell>
          <cell r="Z410">
            <v>15.48</v>
          </cell>
          <cell r="AA410">
            <v>5.16</v>
          </cell>
          <cell r="AB410">
            <v>515.96</v>
          </cell>
          <cell r="AC410">
            <v>0</v>
          </cell>
          <cell r="AD410">
            <v>0</v>
          </cell>
          <cell r="AE410" t="str">
            <v>Sim</v>
          </cell>
        </row>
        <row r="411">
          <cell r="F411">
            <v>122590</v>
          </cell>
          <cell r="G411">
            <v>237092</v>
          </cell>
          <cell r="H411">
            <v>2049586000104</v>
          </cell>
          <cell r="I411" t="str">
            <v>JULIANA MARIA MANTOVANE TRENTINI LTDA</v>
          </cell>
          <cell r="J411" t="str">
            <v>PRACA ENGENHEIRO WALTER FAULHABER</v>
          </cell>
          <cell r="K411">
            <v>111</v>
          </cell>
          <cell r="L411" t="str">
            <v>SALA A</v>
          </cell>
          <cell r="M411" t="str">
            <v>CENTRO</v>
          </cell>
          <cell r="N411" t="str">
            <v>PANAMBI</v>
          </cell>
          <cell r="O411" t="str">
            <v>RS</v>
          </cell>
          <cell r="Q411">
            <v>98280000</v>
          </cell>
          <cell r="R411">
            <v>170102220</v>
          </cell>
          <cell r="S411">
            <v>2</v>
          </cell>
          <cell r="T411">
            <v>2</v>
          </cell>
          <cell r="U411" t="str">
            <v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v>
          </cell>
          <cell r="V411">
            <v>206.39</v>
          </cell>
          <cell r="W411">
            <v>4.13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206.39</v>
          </cell>
          <cell r="AC411">
            <v>0</v>
          </cell>
          <cell r="AD411">
            <v>0</v>
          </cell>
          <cell r="AE411" t="str">
            <v>Sim</v>
          </cell>
        </row>
        <row r="412">
          <cell r="F412">
            <v>122591</v>
          </cell>
          <cell r="G412">
            <v>237107</v>
          </cell>
          <cell r="H412">
            <v>9168232000128</v>
          </cell>
          <cell r="I412" t="str">
            <v>I-RETAIL SERVICOS DE CONSULTORIA DE E PARTICIPACOES LTDA.</v>
          </cell>
          <cell r="J412" t="str">
            <v>ANGELINA MAFFEI VITA</v>
          </cell>
          <cell r="K412">
            <v>200</v>
          </cell>
          <cell r="M412" t="str">
            <v>JARDIM PAULISTANO</v>
          </cell>
          <cell r="N412" t="str">
            <v>SAO PAULO</v>
          </cell>
          <cell r="O412" t="str">
            <v>SP</v>
          </cell>
          <cell r="Q412">
            <v>1455070</v>
          </cell>
          <cell r="R412">
            <v>170102220</v>
          </cell>
          <cell r="S412">
            <v>2</v>
          </cell>
          <cell r="T412">
            <v>2</v>
          </cell>
          <cell r="U412" t="str">
            <v>AntiFraude: Transações: 2382 - Total: R$ 0,01 (Cobrança pelo mínimo mensal) Analista de Risco: R$ 3.809,76 (Período de apuração: 01/08/2026 à 31/08/2026) Vencimento: 11/10/2026 Brazilian Tax Information: Valor estimado dos tributos IBS e CBS, conforme disposto no art. 12 da Lei Complementar nº 214/2025 (Reforma Tributária sobre Consumo): R$0.00 (1%)</v>
          </cell>
          <cell r="V412">
            <v>3887.52</v>
          </cell>
          <cell r="W412">
            <v>77.75</v>
          </cell>
          <cell r="X412">
            <v>58.31</v>
          </cell>
          <cell r="Y412">
            <v>25.27</v>
          </cell>
          <cell r="Z412">
            <v>116.63</v>
          </cell>
          <cell r="AA412">
            <v>38.880000000000003</v>
          </cell>
          <cell r="AB412">
            <v>3887.52</v>
          </cell>
          <cell r="AC412">
            <v>0</v>
          </cell>
          <cell r="AD412">
            <v>0</v>
          </cell>
          <cell r="AE412" t="str">
            <v>Sim</v>
          </cell>
        </row>
        <row r="413">
          <cell r="F413">
            <v>122592</v>
          </cell>
          <cell r="G413">
            <v>237093</v>
          </cell>
          <cell r="H413">
            <v>24731215000140</v>
          </cell>
          <cell r="I413" t="str">
            <v>JV MARKETPLACE JEWELLERY COMERCIO DE JOIAS E RELOGIOS LTDA.</v>
          </cell>
          <cell r="J413" t="str">
            <v>RUA RAPOSO TAVARES</v>
          </cell>
          <cell r="K413">
            <v>38</v>
          </cell>
          <cell r="M413" t="str">
            <v>PILARZINHO</v>
          </cell>
          <cell r="N413" t="str">
            <v>CURITIBA</v>
          </cell>
          <cell r="O413" t="str">
            <v>PR</v>
          </cell>
          <cell r="Q413">
            <v>82100452</v>
          </cell>
          <cell r="R413">
            <v>170102220</v>
          </cell>
          <cell r="S413">
            <v>2</v>
          </cell>
          <cell r="T413">
            <v>2</v>
          </cell>
          <cell r="U413" t="str">
            <v>AntiFraude: Transações: 0 - Total: R$ 4.543,59 (Cobrança pelo mínimo mensal) (Período de apuração: 01/08/2026 à 31/08/2026) Vencimento: 26/09/2026 Brazilian Tax Information: Valor estimado dos tributos IBS e CBS, conforme disposto no art. 12 da Lei Complementar nº 214/2025 (Reforma Tributária sobre Consumo): R$46.36 (1%)</v>
          </cell>
          <cell r="V413">
            <v>4636.32</v>
          </cell>
          <cell r="W413">
            <v>92.73</v>
          </cell>
          <cell r="X413">
            <v>69.540000000000006</v>
          </cell>
          <cell r="Y413">
            <v>30.14</v>
          </cell>
          <cell r="Z413">
            <v>139.09</v>
          </cell>
          <cell r="AA413">
            <v>46.36</v>
          </cell>
          <cell r="AB413">
            <v>4636.32</v>
          </cell>
          <cell r="AC413">
            <v>0</v>
          </cell>
          <cell r="AD413">
            <v>0</v>
          </cell>
          <cell r="AE413" t="str">
            <v>Sim</v>
          </cell>
        </row>
        <row r="414">
          <cell r="F414">
            <v>122593</v>
          </cell>
          <cell r="G414">
            <v>237099</v>
          </cell>
          <cell r="H414">
            <v>11716147000107</v>
          </cell>
          <cell r="I414" t="str">
            <v>INDA SUL COMERCIO DE MEDICAMENTOS E PERFUMARIA LTDA</v>
          </cell>
          <cell r="J414" t="str">
            <v>RUA PREFEITO FREDERICO HARDT</v>
          </cell>
          <cell r="K414">
            <v>321</v>
          </cell>
          <cell r="L414" t="str">
            <v>TERREOFUND OS</v>
          </cell>
          <cell r="M414" t="str">
            <v>CENTRO</v>
          </cell>
          <cell r="N414" t="str">
            <v>INDAIAL</v>
          </cell>
          <cell r="O414" t="str">
            <v>SC</v>
          </cell>
          <cell r="Q414">
            <v>89080018</v>
          </cell>
          <cell r="R414">
            <v>170102220</v>
          </cell>
          <cell r="S414">
            <v>2</v>
          </cell>
          <cell r="T414">
            <v>2</v>
          </cell>
          <cell r="U414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14">
            <v>5.21</v>
          </cell>
          <cell r="W414">
            <v>0.1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5.21</v>
          </cell>
          <cell r="AC414">
            <v>0</v>
          </cell>
          <cell r="AD414">
            <v>0</v>
          </cell>
          <cell r="AE414" t="str">
            <v>Sim</v>
          </cell>
        </row>
        <row r="415">
          <cell r="F415">
            <v>122594</v>
          </cell>
          <cell r="G415">
            <v>237120</v>
          </cell>
          <cell r="H415">
            <v>11556348000186</v>
          </cell>
          <cell r="I415" t="str">
            <v>MARCIA RUIZ ZAMBAO</v>
          </cell>
          <cell r="J415" t="str">
            <v>AVENIDA ANTONIO TIVERON</v>
          </cell>
          <cell r="K415">
            <v>792</v>
          </cell>
          <cell r="L415" t="str">
            <v>SALAS 03 E 04</v>
          </cell>
          <cell r="M415" t="str">
            <v>VILA JAMIL DE LIMA</v>
          </cell>
          <cell r="N415" t="str">
            <v>ADAMANTINA</v>
          </cell>
          <cell r="O415" t="str">
            <v>SP</v>
          </cell>
          <cell r="Q415">
            <v>17800000</v>
          </cell>
          <cell r="R415">
            <v>170102220</v>
          </cell>
          <cell r="S415">
            <v>2</v>
          </cell>
          <cell r="T415">
            <v>2</v>
          </cell>
          <cell r="U415" t="str">
            <v>AntiFraude: Transações: 0 - Total: R$ 199,92 (Cobrança pelo mínimo mensal) (Período de apuração: 01/08/2026 à 31/08/2026) Vencimento: 11/10/2026 Brazilian Tax Information: Valor estimado dos tributos IBS e CBS, conforme disposto no art. 12 da Lei Complementar nº 214/2025 (Reforma Tributária sobre Consumo): R$2.04 (1%)</v>
          </cell>
          <cell r="V415">
            <v>204</v>
          </cell>
          <cell r="W415">
            <v>4.08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204</v>
          </cell>
          <cell r="AC415">
            <v>0</v>
          </cell>
          <cell r="AD415">
            <v>0</v>
          </cell>
          <cell r="AE415" t="str">
            <v>Sim</v>
          </cell>
        </row>
        <row r="416">
          <cell r="F416">
            <v>122595</v>
          </cell>
          <cell r="G416">
            <v>237146</v>
          </cell>
          <cell r="H416">
            <v>10326174001174</v>
          </cell>
          <cell r="I416" t="str">
            <v>LFSP CALCADOS E ACESSORIOS LTDA</v>
          </cell>
          <cell r="J416" t="str">
            <v>RUA BARTOLOMEU PAES</v>
          </cell>
          <cell r="K416">
            <v>755</v>
          </cell>
          <cell r="M416" t="str">
            <v>VILA ANASTACIO</v>
          </cell>
          <cell r="N416" t="str">
            <v>SAO PAULO</v>
          </cell>
          <cell r="O416" t="str">
            <v>SP</v>
          </cell>
          <cell r="Q416">
            <v>5092000</v>
          </cell>
          <cell r="R416">
            <v>170102220</v>
          </cell>
          <cell r="S416">
            <v>2</v>
          </cell>
          <cell r="T416">
            <v>2</v>
          </cell>
          <cell r="U416" t="str">
            <v>AntiFraude: Transações: 0 - Total: R$ 836,40 (Cobrança pelo mínimo mensal) (Período de apuração: 01/08/2026 à 31/08/2026) Vencimento: 26/09/2026 Brazilian Tax Information: Valor estimado dos tributos IBS e CBS, conforme disposto no art. 12 da Lei Complementar nº 214/2025 (Reforma Tributária sobre Consumo): R$8.53 (1%)</v>
          </cell>
          <cell r="V416">
            <v>853.47</v>
          </cell>
          <cell r="W416">
            <v>17.07</v>
          </cell>
          <cell r="X416">
            <v>12.8</v>
          </cell>
          <cell r="Y416">
            <v>5.55</v>
          </cell>
          <cell r="Z416">
            <v>25.6</v>
          </cell>
          <cell r="AA416">
            <v>8.5299999999999994</v>
          </cell>
          <cell r="AB416">
            <v>853.47</v>
          </cell>
          <cell r="AC416">
            <v>0</v>
          </cell>
          <cell r="AD416">
            <v>0</v>
          </cell>
          <cell r="AE416" t="str">
            <v>Sim</v>
          </cell>
        </row>
        <row r="417">
          <cell r="F417">
            <v>122596</v>
          </cell>
          <cell r="G417">
            <v>237115</v>
          </cell>
          <cell r="H417">
            <v>38356562000145</v>
          </cell>
          <cell r="I417" t="str">
            <v>MAFE ACESSORIOS SEMIJOIAS LTDA</v>
          </cell>
          <cell r="J417" t="str">
            <v>RUA CLARINO PEIXOTO DE OLIVEIRA</v>
          </cell>
          <cell r="K417">
            <v>280</v>
          </cell>
          <cell r="L417" t="str">
            <v>SALA 7 BLO CO B</v>
          </cell>
          <cell r="M417" t="str">
            <v>JARDIM MARIA BRUSCHI MODENEIS</v>
          </cell>
          <cell r="N417" t="str">
            <v>LIMEIRA</v>
          </cell>
          <cell r="O417" t="str">
            <v>SP</v>
          </cell>
          <cell r="Q417">
            <v>13482231</v>
          </cell>
          <cell r="R417">
            <v>170102220</v>
          </cell>
          <cell r="S417">
            <v>2</v>
          </cell>
          <cell r="T417">
            <v>2</v>
          </cell>
          <cell r="U417" t="str">
            <v>AntiFraude: Transações: 0 - Total: R$ 984,00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R$10.04 (1%)</v>
          </cell>
          <cell r="V417">
            <v>1004.08</v>
          </cell>
          <cell r="W417">
            <v>20.079999999999998</v>
          </cell>
          <cell r="X417">
            <v>15.06</v>
          </cell>
          <cell r="Y417">
            <v>6.53</v>
          </cell>
          <cell r="Z417">
            <v>30.12</v>
          </cell>
          <cell r="AA417">
            <v>10.039999999999999</v>
          </cell>
          <cell r="AB417">
            <v>1004.08</v>
          </cell>
          <cell r="AC417">
            <v>0</v>
          </cell>
          <cell r="AD417">
            <v>0</v>
          </cell>
          <cell r="AE417" t="str">
            <v>Sim</v>
          </cell>
        </row>
        <row r="418">
          <cell r="F418">
            <v>122597</v>
          </cell>
          <cell r="G418">
            <v>237139</v>
          </cell>
          <cell r="H418">
            <v>11512486000163</v>
          </cell>
          <cell r="I418" t="str">
            <v>M &amp; A FARMA LTDA</v>
          </cell>
          <cell r="J418" t="str">
            <v>RUA AMAZONAS</v>
          </cell>
          <cell r="K418">
            <v>3744</v>
          </cell>
          <cell r="M418" t="str">
            <v>GARCIA</v>
          </cell>
          <cell r="N418" t="str">
            <v>BLUMENAU</v>
          </cell>
          <cell r="O418" t="str">
            <v>SC</v>
          </cell>
          <cell r="Q418">
            <v>89022002</v>
          </cell>
          <cell r="R418">
            <v>170102220</v>
          </cell>
          <cell r="S418">
            <v>2</v>
          </cell>
          <cell r="T418">
            <v>2</v>
          </cell>
          <cell r="U418" t="str">
            <v>AntiFraude: Transações: 0 - Total: R$ 5,14 (Cobrança pelo mínimo mensal) (Período de apuração: 01/08/2026 à 31/08/2026) Vencimento: 30/10/2026 Brazilian Tax Information: Valor estimado dos tributos IBS e CBS, conforme disposto no art. 12 da Lei Complementar nº 214/2025 (Reforma Tributária sobre Consumo): R$0.05 (1%)</v>
          </cell>
          <cell r="V418">
            <v>5.24</v>
          </cell>
          <cell r="W418">
            <v>0.1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5.24</v>
          </cell>
          <cell r="AC418">
            <v>0</v>
          </cell>
          <cell r="AD418">
            <v>0</v>
          </cell>
          <cell r="AE418" t="str">
            <v>Sim</v>
          </cell>
        </row>
        <row r="419">
          <cell r="F419">
            <v>122598</v>
          </cell>
          <cell r="G419">
            <v>237125</v>
          </cell>
          <cell r="H419">
            <v>11369356000113</v>
          </cell>
          <cell r="I419" t="str">
            <v>LEME E LEME DROGARIA E PERFUMARIA LTDA</v>
          </cell>
          <cell r="J419" t="str">
            <v>RUA DR. CAMPOS SALLES</v>
          </cell>
          <cell r="K419">
            <v>94</v>
          </cell>
          <cell r="M419" t="str">
            <v>CENTRO</v>
          </cell>
          <cell r="N419" t="str">
            <v>SOCORRO</v>
          </cell>
          <cell r="O419" t="str">
            <v>SP</v>
          </cell>
          <cell r="Q419">
            <v>13960000</v>
          </cell>
          <cell r="R419">
            <v>170102220</v>
          </cell>
          <cell r="S419">
            <v>2</v>
          </cell>
          <cell r="T419">
            <v>2</v>
          </cell>
          <cell r="U419" t="str">
            <v>AntiFraude: Transações: 18 - Tarifa: R$ 0,5600 - Total: R$ 10,08 (Período de apuração: 01/08/2026 à 31/08/2026) Vencimento: 26/09/2026 Brazilian Tax Information: Valor estimado dos tributos IBS e CBS, conforme disposto no art. 12 da Lei Complementar nº 214/2025 (Reforma Tributária sobre Consumo): R$0.10 (1%)</v>
          </cell>
          <cell r="V419">
            <v>10.29</v>
          </cell>
          <cell r="W419">
            <v>0.21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10.29</v>
          </cell>
          <cell r="AC419">
            <v>0</v>
          </cell>
          <cell r="AD419">
            <v>0</v>
          </cell>
          <cell r="AE419" t="str">
            <v>Sim</v>
          </cell>
        </row>
        <row r="420">
          <cell r="F420">
            <v>122599</v>
          </cell>
          <cell r="G420">
            <v>237149</v>
          </cell>
          <cell r="H420">
            <v>3116785000150</v>
          </cell>
          <cell r="I420" t="str">
            <v>LABOR PRODUTOS OPTICOS LTDA.</v>
          </cell>
          <cell r="J420" t="str">
            <v>RUA DEZ DE MAIO</v>
          </cell>
          <cell r="K420">
            <v>563</v>
          </cell>
          <cell r="L420" t="str">
            <v>LOJA 02</v>
          </cell>
          <cell r="M420" t="str">
            <v>CENTRO</v>
          </cell>
          <cell r="N420" t="str">
            <v>ITAPERUNA</v>
          </cell>
          <cell r="O420" t="str">
            <v>RJ</v>
          </cell>
          <cell r="Q420">
            <v>28300000</v>
          </cell>
          <cell r="R420">
            <v>170102220</v>
          </cell>
          <cell r="S420">
            <v>2</v>
          </cell>
          <cell r="T420">
            <v>2</v>
          </cell>
          <cell r="U420" t="str">
            <v>AntiFraude: Transações: 0 -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v>
          </cell>
          <cell r="V420">
            <v>183.67</v>
          </cell>
          <cell r="W420">
            <v>3.67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183.67</v>
          </cell>
          <cell r="AC420">
            <v>0</v>
          </cell>
          <cell r="AD420">
            <v>0</v>
          </cell>
          <cell r="AE420" t="str">
            <v>Sim</v>
          </cell>
        </row>
        <row r="421">
          <cell r="F421">
            <v>122600</v>
          </cell>
          <cell r="G421">
            <v>237111</v>
          </cell>
          <cell r="H421">
            <v>4865993000115</v>
          </cell>
          <cell r="I421" t="str">
            <v>LOPES DROGARIA LTDA</v>
          </cell>
          <cell r="J421" t="str">
            <v>RUA RUA DR. MARIO NEGOCIO</v>
          </cell>
          <cell r="K421">
            <v>9</v>
          </cell>
          <cell r="M421" t="str">
            <v>SAO SEBASTIAO</v>
          </cell>
          <cell r="N421" t="str">
            <v>NOVA CRUZ</v>
          </cell>
          <cell r="O421" t="str">
            <v>RN</v>
          </cell>
          <cell r="Q421">
            <v>59215000</v>
          </cell>
          <cell r="R421">
            <v>170102220</v>
          </cell>
          <cell r="S421">
            <v>2</v>
          </cell>
          <cell r="T421">
            <v>2</v>
          </cell>
          <cell r="U421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21">
            <v>5.14</v>
          </cell>
          <cell r="W421">
            <v>0.1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5.14</v>
          </cell>
          <cell r="AC421">
            <v>0</v>
          </cell>
          <cell r="AD421">
            <v>0</v>
          </cell>
          <cell r="AE421" t="str">
            <v>Sim</v>
          </cell>
        </row>
        <row r="422">
          <cell r="F422">
            <v>122601</v>
          </cell>
          <cell r="G422">
            <v>237147</v>
          </cell>
          <cell r="H422">
            <v>28813868000120</v>
          </cell>
          <cell r="I422" t="str">
            <v>MERIDIAN DISTRIBUIDORA LTDA</v>
          </cell>
          <cell r="J422" t="str">
            <v>RODOVIA BR 101</v>
          </cell>
          <cell r="K422">
            <v>8501</v>
          </cell>
          <cell r="L422" t="str">
            <v>GALPAO4 BL OCO A SAL</v>
          </cell>
          <cell r="M422" t="str">
            <v>SAO VICENTE</v>
          </cell>
          <cell r="N422" t="str">
            <v>ITAJAI</v>
          </cell>
          <cell r="O422" t="str">
            <v>SC</v>
          </cell>
          <cell r="Q422">
            <v>88312501</v>
          </cell>
          <cell r="R422">
            <v>170102220</v>
          </cell>
          <cell r="S422">
            <v>2</v>
          </cell>
          <cell r="T422">
            <v>2</v>
          </cell>
          <cell r="U422" t="str">
            <v>AntiFraude: Transações: 0 - Total: R$ 800,00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R$8.16 (1%)</v>
          </cell>
          <cell r="V422">
            <v>816.33</v>
          </cell>
          <cell r="W422">
            <v>16.329999999999998</v>
          </cell>
          <cell r="X422">
            <v>12.24</v>
          </cell>
          <cell r="Y422">
            <v>5.31</v>
          </cell>
          <cell r="Z422">
            <v>24.49</v>
          </cell>
          <cell r="AA422">
            <v>8.16</v>
          </cell>
          <cell r="AB422">
            <v>816.33</v>
          </cell>
          <cell r="AC422">
            <v>0</v>
          </cell>
          <cell r="AD422">
            <v>0</v>
          </cell>
          <cell r="AE422" t="str">
            <v>Sim</v>
          </cell>
        </row>
        <row r="423">
          <cell r="F423">
            <v>122602</v>
          </cell>
          <cell r="G423">
            <v>237152</v>
          </cell>
          <cell r="H423">
            <v>72739543002180</v>
          </cell>
          <cell r="I423" t="str">
            <v>MANFRIN , CASSEB &amp; CIA LTDA</v>
          </cell>
          <cell r="J423" t="str">
            <v>RUA JOSE DE RIBAMAR SOUZA</v>
          </cell>
          <cell r="K423">
            <v>455</v>
          </cell>
          <cell r="M423" t="str">
            <v>CONJUNTO POLO COMERCIAL E INDUSTRIAL GIO</v>
          </cell>
          <cell r="N423" t="str">
            <v>CATANDUVA</v>
          </cell>
          <cell r="O423" t="str">
            <v>SP</v>
          </cell>
          <cell r="Q423">
            <v>15803290</v>
          </cell>
          <cell r="R423">
            <v>170102220</v>
          </cell>
          <cell r="S423">
            <v>2</v>
          </cell>
          <cell r="T423">
            <v>2</v>
          </cell>
          <cell r="U423" t="str">
            <v>AntiFraude: Transações: 58 - Total: R$ 400,00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R$4.08 (1%)</v>
          </cell>
          <cell r="V423">
            <v>408.16</v>
          </cell>
          <cell r="W423">
            <v>8.16</v>
          </cell>
          <cell r="X423">
            <v>0</v>
          </cell>
          <cell r="Y423">
            <v>2.65</v>
          </cell>
          <cell r="Z423">
            <v>12.24</v>
          </cell>
          <cell r="AA423">
            <v>4.08</v>
          </cell>
          <cell r="AB423">
            <v>408.16</v>
          </cell>
          <cell r="AC423">
            <v>0</v>
          </cell>
          <cell r="AD423">
            <v>0</v>
          </cell>
          <cell r="AE423" t="str">
            <v>Sim</v>
          </cell>
        </row>
        <row r="424">
          <cell r="F424">
            <v>122603</v>
          </cell>
          <cell r="G424">
            <v>237148</v>
          </cell>
          <cell r="H424">
            <v>43283811000150</v>
          </cell>
          <cell r="I424" t="str">
            <v>KALUNGA SA</v>
          </cell>
          <cell r="J424" t="str">
            <v>RUA DA MOOCA</v>
          </cell>
          <cell r="K424">
            <v>766</v>
          </cell>
          <cell r="L424" t="str">
            <v>ANDAR 4 E 5</v>
          </cell>
          <cell r="M424" t="str">
            <v>MOOCA</v>
          </cell>
          <cell r="N424" t="str">
            <v>SAO PAULO</v>
          </cell>
          <cell r="O424" t="str">
            <v>SP</v>
          </cell>
          <cell r="Q424">
            <v>3104010</v>
          </cell>
          <cell r="R424">
            <v>170102220</v>
          </cell>
          <cell r="S424">
            <v>2</v>
          </cell>
          <cell r="T424">
            <v>2</v>
          </cell>
          <cell r="U424" t="str">
            <v>AntiFraude: Transações: 28124 - Total: R$ 58.500,00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R$596.94 (1%)</v>
          </cell>
          <cell r="V424">
            <v>59693.88</v>
          </cell>
          <cell r="W424">
            <v>1193.8800000000001</v>
          </cell>
          <cell r="X424">
            <v>895.41</v>
          </cell>
          <cell r="Y424">
            <v>388.01</v>
          </cell>
          <cell r="Z424">
            <v>1790.82</v>
          </cell>
          <cell r="AA424">
            <v>596.94000000000005</v>
          </cell>
          <cell r="AB424">
            <v>59693.88</v>
          </cell>
          <cell r="AC424">
            <v>0</v>
          </cell>
          <cell r="AD424">
            <v>0</v>
          </cell>
          <cell r="AE424" t="str">
            <v>Sim</v>
          </cell>
        </row>
        <row r="425">
          <cell r="F425">
            <v>122604</v>
          </cell>
          <cell r="G425">
            <v>237122</v>
          </cell>
          <cell r="H425">
            <v>37408389000119</v>
          </cell>
          <cell r="I425" t="str">
            <v>L A SANTOS SILVA SERVICOS DIGITAISLTDA</v>
          </cell>
          <cell r="J425" t="str">
            <v>AVENIDA TIM MAIA</v>
          </cell>
          <cell r="K425">
            <v>7285</v>
          </cell>
          <cell r="L425" t="str">
            <v>APT 0703 B LC 3</v>
          </cell>
          <cell r="M425" t="str">
            <v>RECREIO DOS BANDEIRANTES</v>
          </cell>
          <cell r="N425" t="str">
            <v>RIO DE JANEIRO</v>
          </cell>
          <cell r="O425" t="str">
            <v>RJ</v>
          </cell>
          <cell r="Q425">
            <v>22790669</v>
          </cell>
          <cell r="R425">
            <v>170102220</v>
          </cell>
          <cell r="S425">
            <v>2</v>
          </cell>
          <cell r="T425">
            <v>2</v>
          </cell>
          <cell r="U425" t="str">
            <v>AntiFraude: Transações: 0 - Total: R$ 470,00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R$4.80 (1%)</v>
          </cell>
          <cell r="V425">
            <v>479.59</v>
          </cell>
          <cell r="W425">
            <v>9.59</v>
          </cell>
          <cell r="X425">
            <v>0</v>
          </cell>
          <cell r="Y425">
            <v>3.12</v>
          </cell>
          <cell r="Z425">
            <v>14.39</v>
          </cell>
          <cell r="AA425">
            <v>4.8</v>
          </cell>
          <cell r="AB425">
            <v>479.59</v>
          </cell>
          <cell r="AC425">
            <v>0</v>
          </cell>
          <cell r="AD425">
            <v>0</v>
          </cell>
          <cell r="AE425" t="str">
            <v>Sim</v>
          </cell>
        </row>
        <row r="426">
          <cell r="F426">
            <v>122605</v>
          </cell>
          <cell r="G426">
            <v>237112</v>
          </cell>
          <cell r="H426">
            <v>32283506000141</v>
          </cell>
          <cell r="I426" t="str">
            <v>MODULACAO INTESTINAL CURSO E POS GRADUACAO LTDA</v>
          </cell>
          <cell r="J426" t="str">
            <v>RUA MAESTRO SERAFIM SILVA</v>
          </cell>
          <cell r="K426">
            <v>325</v>
          </cell>
          <cell r="M426" t="str">
            <v>URUSSANGUINHA</v>
          </cell>
          <cell r="N426" t="str">
            <v>ARARANGUA</v>
          </cell>
          <cell r="O426" t="str">
            <v>SC</v>
          </cell>
          <cell r="Q426">
            <v>88905440</v>
          </cell>
          <cell r="R426">
            <v>170102220</v>
          </cell>
          <cell r="S426">
            <v>2</v>
          </cell>
          <cell r="T426">
            <v>2</v>
          </cell>
          <cell r="U426" t="str">
            <v>AntiFraude: Transações: 0 -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426">
            <v>202.04</v>
          </cell>
          <cell r="W426">
            <v>4.04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202.04</v>
          </cell>
          <cell r="AC426">
            <v>0</v>
          </cell>
          <cell r="AD426">
            <v>0</v>
          </cell>
          <cell r="AE426" t="str">
            <v>Sim</v>
          </cell>
        </row>
        <row r="427">
          <cell r="F427">
            <v>122606</v>
          </cell>
          <cell r="G427">
            <v>237191</v>
          </cell>
          <cell r="H427">
            <v>25965815000136</v>
          </cell>
          <cell r="I427" t="str">
            <v>HOTEL FAZENDA VALE SUICO LTDA</v>
          </cell>
          <cell r="J427" t="str">
            <v>COMUNIDADE BAIRRO DO MONJOLINHO</v>
          </cell>
          <cell r="K427" t="str">
            <v>S/N</v>
          </cell>
          <cell r="L427" t="str">
            <v>RODOVIA FE RNAO DIAS</v>
          </cell>
          <cell r="M427" t="str">
            <v>MONJOLINHO</v>
          </cell>
          <cell r="N427" t="str">
            <v>ITAPEVA</v>
          </cell>
          <cell r="O427" t="str">
            <v>MG</v>
          </cell>
          <cell r="Q427">
            <v>37655000</v>
          </cell>
          <cell r="R427">
            <v>170102220</v>
          </cell>
          <cell r="S427">
            <v>2</v>
          </cell>
          <cell r="T427">
            <v>2</v>
          </cell>
          <cell r="U427" t="str">
            <v>AntiFraude: Transações: 349 - Tarifa: R$ 0,8500 - Total: R$ 296,65 (Período de apuração: 01/08/2026 à 31/08/2026) Vencimento: 26/09/2026 Brazilian Tax Information: Valor estimado dos tributos IBS e CBS, conforme disposto no art. 12 da Lei Complementar nº 214/2025 (Reforma Tributária sobre Consumo): R$3.03 (1%)</v>
          </cell>
          <cell r="V427">
            <v>302.7</v>
          </cell>
          <cell r="W427">
            <v>6.05</v>
          </cell>
          <cell r="X427">
            <v>0</v>
          </cell>
          <cell r="Y427">
            <v>1.97</v>
          </cell>
          <cell r="Z427">
            <v>9.08</v>
          </cell>
          <cell r="AA427">
            <v>3.03</v>
          </cell>
          <cell r="AB427">
            <v>302.7</v>
          </cell>
          <cell r="AC427">
            <v>0</v>
          </cell>
          <cell r="AD427">
            <v>0</v>
          </cell>
          <cell r="AE427" t="str">
            <v>Sim</v>
          </cell>
        </row>
        <row r="428">
          <cell r="F428">
            <v>122607</v>
          </cell>
          <cell r="G428">
            <v>237171</v>
          </cell>
          <cell r="H428">
            <v>7524476000170</v>
          </cell>
          <cell r="I428" t="str">
            <v>JOMASA COMERCIO DE PRODUTOS FARMACEUTICOS LTDA</v>
          </cell>
          <cell r="J428" t="str">
            <v>RUA CORONEL JOSE THEODORO</v>
          </cell>
          <cell r="K428">
            <v>555</v>
          </cell>
          <cell r="M428" t="str">
            <v>CENTRO</v>
          </cell>
          <cell r="N428" t="str">
            <v>JARDINOPOLIS</v>
          </cell>
          <cell r="O428" t="str">
            <v>SP</v>
          </cell>
          <cell r="Q428">
            <v>14680000</v>
          </cell>
          <cell r="R428">
            <v>170102220</v>
          </cell>
          <cell r="S428">
            <v>2</v>
          </cell>
          <cell r="T428">
            <v>2</v>
          </cell>
          <cell r="U428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28">
            <v>5.14</v>
          </cell>
          <cell r="W428">
            <v>0.1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5.14</v>
          </cell>
          <cell r="AC428">
            <v>0</v>
          </cell>
          <cell r="AD428">
            <v>0</v>
          </cell>
          <cell r="AE428" t="str">
            <v>Sim</v>
          </cell>
        </row>
        <row r="429">
          <cell r="F429">
            <v>122608</v>
          </cell>
          <cell r="G429">
            <v>237177</v>
          </cell>
          <cell r="H429">
            <v>11377568000142</v>
          </cell>
          <cell r="I429" t="str">
            <v>MAYUMI ENDO FARMACIA E PERFUMARIA</v>
          </cell>
          <cell r="J429" t="str">
            <v>RUA LUIZ ARMANDO OHPIS</v>
          </cell>
          <cell r="K429">
            <v>386</v>
          </cell>
          <cell r="M429" t="str">
            <v>ESTACAO</v>
          </cell>
          <cell r="N429" t="str">
            <v>ARAUCARIA</v>
          </cell>
          <cell r="O429" t="str">
            <v>PR</v>
          </cell>
          <cell r="Q429">
            <v>83705072</v>
          </cell>
          <cell r="R429">
            <v>170102220</v>
          </cell>
          <cell r="S429">
            <v>2</v>
          </cell>
          <cell r="T429">
            <v>2</v>
          </cell>
          <cell r="U429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29">
            <v>5.14</v>
          </cell>
          <cell r="W429">
            <v>0.1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5.14</v>
          </cell>
          <cell r="AC429">
            <v>0</v>
          </cell>
          <cell r="AD429">
            <v>0</v>
          </cell>
          <cell r="AE429" t="str">
            <v>Sim</v>
          </cell>
        </row>
        <row r="430">
          <cell r="F430">
            <v>122609</v>
          </cell>
          <cell r="G430">
            <v>237179</v>
          </cell>
          <cell r="H430">
            <v>34979274000196</v>
          </cell>
          <cell r="I430" t="str">
            <v>MSF CAFE LTDA</v>
          </cell>
          <cell r="J430" t="str">
            <v>RUA MANUEL GUEDES</v>
          </cell>
          <cell r="K430">
            <v>349</v>
          </cell>
          <cell r="M430" t="str">
            <v>JARDIM EUROPA</v>
          </cell>
          <cell r="N430" t="str">
            <v>SAO PAULO</v>
          </cell>
          <cell r="O430" t="str">
            <v>SP</v>
          </cell>
          <cell r="Q430">
            <v>4536070</v>
          </cell>
          <cell r="R430">
            <v>170102220</v>
          </cell>
          <cell r="S430">
            <v>2</v>
          </cell>
          <cell r="T430">
            <v>2</v>
          </cell>
          <cell r="U430" t="str">
            <v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v>
          </cell>
          <cell r="V430">
            <v>195.92</v>
          </cell>
          <cell r="W430">
            <v>3.92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195.92</v>
          </cell>
          <cell r="AC430">
            <v>0</v>
          </cell>
          <cell r="AD430">
            <v>0</v>
          </cell>
          <cell r="AE430" t="str">
            <v>Sim</v>
          </cell>
        </row>
        <row r="431">
          <cell r="F431">
            <v>122610</v>
          </cell>
          <cell r="G431">
            <v>237166</v>
          </cell>
          <cell r="H431">
            <v>83115048000172</v>
          </cell>
          <cell r="I431" t="str">
            <v>HOTEL GUMZ LTDA</v>
          </cell>
          <cell r="J431" t="str">
            <v>RUA 1200</v>
          </cell>
          <cell r="K431">
            <v>140</v>
          </cell>
          <cell r="M431" t="str">
            <v>CENTRO</v>
          </cell>
          <cell r="N431" t="str">
            <v>BALNEARIO CAMBORIU</v>
          </cell>
          <cell r="O431" t="str">
            <v>SC</v>
          </cell>
          <cell r="Q431">
            <v>88330549</v>
          </cell>
          <cell r="R431">
            <v>170102220</v>
          </cell>
          <cell r="S431">
            <v>2</v>
          </cell>
          <cell r="T431">
            <v>2</v>
          </cell>
          <cell r="U431" t="str">
            <v>AntiFraude: Transações: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431">
            <v>202.04</v>
          </cell>
          <cell r="W431">
            <v>4.04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202.04</v>
          </cell>
          <cell r="AC431">
            <v>0</v>
          </cell>
          <cell r="AD431">
            <v>0</v>
          </cell>
          <cell r="AE431" t="str">
            <v>Sim</v>
          </cell>
        </row>
        <row r="432">
          <cell r="F432">
            <v>122611</v>
          </cell>
          <cell r="G432">
            <v>237165</v>
          </cell>
          <cell r="H432">
            <v>7192233000182</v>
          </cell>
          <cell r="I432" t="str">
            <v>JOICE R. LEAO LTDA</v>
          </cell>
          <cell r="J432" t="str">
            <v>AVENIDA IGUACU</v>
          </cell>
          <cell r="K432">
            <v>820</v>
          </cell>
          <cell r="L432" t="str">
            <v>SALA 01</v>
          </cell>
          <cell r="M432" t="str">
            <v>CENTRO</v>
          </cell>
          <cell r="N432" t="str">
            <v>MANGUEIRINHA</v>
          </cell>
          <cell r="O432" t="str">
            <v>PR</v>
          </cell>
          <cell r="Q432">
            <v>85540000</v>
          </cell>
          <cell r="R432">
            <v>170102220</v>
          </cell>
          <cell r="S432">
            <v>2</v>
          </cell>
          <cell r="T432">
            <v>2</v>
          </cell>
          <cell r="U432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32">
            <v>5.14</v>
          </cell>
          <cell r="W432">
            <v>0.1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5.14</v>
          </cell>
          <cell r="AC432">
            <v>0</v>
          </cell>
          <cell r="AD432">
            <v>0</v>
          </cell>
          <cell r="AE432" t="str">
            <v>Sim</v>
          </cell>
        </row>
        <row r="433">
          <cell r="F433">
            <v>122612</v>
          </cell>
          <cell r="G433">
            <v>237231</v>
          </cell>
          <cell r="H433">
            <v>63974483000145</v>
          </cell>
          <cell r="I433" t="str">
            <v>MUNDO CARDS LTDA</v>
          </cell>
          <cell r="J433" t="str">
            <v>SANTANA</v>
          </cell>
          <cell r="K433">
            <v>0</v>
          </cell>
          <cell r="M433" t="str">
            <v>CENTRO</v>
          </cell>
          <cell r="N433" t="str">
            <v>CAETITE</v>
          </cell>
          <cell r="O433" t="str">
            <v>BA</v>
          </cell>
          <cell r="Q433">
            <v>46400101</v>
          </cell>
          <cell r="R433">
            <v>170102220</v>
          </cell>
          <cell r="S433">
            <v>2</v>
          </cell>
          <cell r="T433">
            <v>2</v>
          </cell>
          <cell r="U433" t="str">
            <v>AntiFraude: Transações: 2 -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v>
          </cell>
          <cell r="V433">
            <v>556.12</v>
          </cell>
          <cell r="W433">
            <v>11.12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556.12</v>
          </cell>
          <cell r="AC433">
            <v>0</v>
          </cell>
          <cell r="AD433">
            <v>0</v>
          </cell>
          <cell r="AE433" t="str">
            <v>Sim</v>
          </cell>
        </row>
        <row r="434">
          <cell r="F434">
            <v>122613</v>
          </cell>
          <cell r="G434">
            <v>237248</v>
          </cell>
          <cell r="H434">
            <v>4689850000108</v>
          </cell>
          <cell r="I434" t="str">
            <v>INTERATIVA PHARMA LTDA</v>
          </cell>
          <cell r="J434" t="str">
            <v>PRACA GENERAL CRAVEIRO LOPES</v>
          </cell>
          <cell r="K434">
            <v>19</v>
          </cell>
          <cell r="L434" t="str">
            <v>SL 2 - 2</v>
          </cell>
          <cell r="M434" t="str">
            <v>BELA VISTA</v>
          </cell>
          <cell r="N434" t="str">
            <v>SAO PAULO</v>
          </cell>
          <cell r="O434" t="str">
            <v>SP</v>
          </cell>
          <cell r="Q434">
            <v>1319070</v>
          </cell>
          <cell r="R434">
            <v>170102220</v>
          </cell>
          <cell r="S434">
            <v>2</v>
          </cell>
          <cell r="T434">
            <v>2</v>
          </cell>
          <cell r="U434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34">
            <v>5.14</v>
          </cell>
          <cell r="W434">
            <v>0.1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5.14</v>
          </cell>
          <cell r="AC434">
            <v>0</v>
          </cell>
          <cell r="AD434">
            <v>0</v>
          </cell>
          <cell r="AE434" t="str">
            <v>Sim</v>
          </cell>
        </row>
        <row r="435">
          <cell r="F435">
            <v>122614</v>
          </cell>
          <cell r="G435">
            <v>237221</v>
          </cell>
          <cell r="H435">
            <v>34003834000172</v>
          </cell>
          <cell r="I435" t="str">
            <v>ILHA TOUR AGENCIA DE VIAGENS LTDA</v>
          </cell>
          <cell r="J435" t="str">
            <v>RUA RAMOM FRANCO</v>
          </cell>
          <cell r="K435">
            <v>109</v>
          </cell>
          <cell r="M435" t="str">
            <v>URCA</v>
          </cell>
          <cell r="N435" t="str">
            <v>RIO DE JANEIRO</v>
          </cell>
          <cell r="O435" t="str">
            <v>RJ</v>
          </cell>
          <cell r="Q435">
            <v>22290290</v>
          </cell>
          <cell r="R435">
            <v>170102220</v>
          </cell>
          <cell r="S435">
            <v>2</v>
          </cell>
          <cell r="T435">
            <v>2</v>
          </cell>
          <cell r="U435" t="str">
            <v>AntiFraude: Transações: 21 -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v>
          </cell>
          <cell r="V435">
            <v>816.33</v>
          </cell>
          <cell r="W435">
            <v>16.329999999999998</v>
          </cell>
          <cell r="X435">
            <v>12.24</v>
          </cell>
          <cell r="Y435">
            <v>0</v>
          </cell>
          <cell r="Z435">
            <v>0</v>
          </cell>
          <cell r="AA435">
            <v>0</v>
          </cell>
          <cell r="AB435">
            <v>816.33</v>
          </cell>
          <cell r="AC435">
            <v>0</v>
          </cell>
          <cell r="AD435">
            <v>0</v>
          </cell>
          <cell r="AE435" t="str">
            <v>Sim</v>
          </cell>
        </row>
        <row r="436">
          <cell r="F436">
            <v>122615</v>
          </cell>
          <cell r="G436">
            <v>237226</v>
          </cell>
          <cell r="H436">
            <v>5471879000416</v>
          </cell>
          <cell r="I436" t="str">
            <v>KASA MOTORS LTDA</v>
          </cell>
          <cell r="J436" t="str">
            <v>SHTQ TRECHO 01 AVENIDA COMERCIAL LOTE 5/6</v>
          </cell>
          <cell r="K436">
            <v>0</v>
          </cell>
          <cell r="M436" t="str">
            <v>SETOR HABITACIONAL TAQUARI (LAGO NORTE)</v>
          </cell>
          <cell r="N436" t="str">
            <v>BRASILIA</v>
          </cell>
          <cell r="O436" t="str">
            <v>DF</v>
          </cell>
          <cell r="Q436">
            <v>71551010</v>
          </cell>
          <cell r="R436">
            <v>170102220</v>
          </cell>
          <cell r="S436">
            <v>2</v>
          </cell>
          <cell r="T436">
            <v>2</v>
          </cell>
          <cell r="U436" t="str">
            <v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v>
          </cell>
          <cell r="V436">
            <v>483.67</v>
          </cell>
          <cell r="W436">
            <v>9.67</v>
          </cell>
          <cell r="X436">
            <v>0</v>
          </cell>
          <cell r="Y436">
            <v>3.14</v>
          </cell>
          <cell r="Z436">
            <v>14.51</v>
          </cell>
          <cell r="AA436">
            <v>4.84</v>
          </cell>
          <cell r="AB436">
            <v>483.67</v>
          </cell>
          <cell r="AC436">
            <v>0</v>
          </cell>
          <cell r="AD436">
            <v>0</v>
          </cell>
          <cell r="AE436" t="str">
            <v>Sim</v>
          </cell>
        </row>
        <row r="437">
          <cell r="F437">
            <v>122616</v>
          </cell>
          <cell r="G437">
            <v>237208</v>
          </cell>
          <cell r="H437">
            <v>76541127000180</v>
          </cell>
          <cell r="I437" t="str">
            <v>MEGA EVENTOS E PRODUCOES LTDA</v>
          </cell>
          <cell r="J437" t="str">
            <v>RUA CAMPOLINO ALVES</v>
          </cell>
          <cell r="K437">
            <v>300</v>
          </cell>
          <cell r="L437" t="str">
            <v>SALA 414 C XPST A 19</v>
          </cell>
          <cell r="M437" t="str">
            <v>CAPOEIRAS</v>
          </cell>
          <cell r="N437" t="str">
            <v>FLORIANOPOLIS</v>
          </cell>
          <cell r="O437" t="str">
            <v>SC</v>
          </cell>
          <cell r="Q437">
            <v>88085110</v>
          </cell>
          <cell r="R437">
            <v>170102220</v>
          </cell>
          <cell r="S437">
            <v>2</v>
          </cell>
          <cell r="T437">
            <v>2</v>
          </cell>
          <cell r="U437" t="str">
            <v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v>
          </cell>
          <cell r="V437">
            <v>1632.65</v>
          </cell>
          <cell r="W437">
            <v>32.65</v>
          </cell>
          <cell r="X437">
            <v>24.49</v>
          </cell>
          <cell r="Y437">
            <v>10.61</v>
          </cell>
          <cell r="Z437">
            <v>48.98</v>
          </cell>
          <cell r="AA437">
            <v>16.329999999999998</v>
          </cell>
          <cell r="AB437">
            <v>1632.65</v>
          </cell>
          <cell r="AC437">
            <v>0</v>
          </cell>
          <cell r="AD437">
            <v>0</v>
          </cell>
          <cell r="AE437" t="str">
            <v>Sim</v>
          </cell>
        </row>
        <row r="438">
          <cell r="F438">
            <v>122617</v>
          </cell>
          <cell r="G438">
            <v>237235</v>
          </cell>
          <cell r="H438">
            <v>59769329000164</v>
          </cell>
          <cell r="I438" t="str">
            <v>MIC INDUSTRIA DE CONFECCAO LTDA</v>
          </cell>
          <cell r="J438" t="str">
            <v>BERNARDO MANUEL</v>
          </cell>
          <cell r="K438">
            <v>0</v>
          </cell>
          <cell r="M438" t="str">
            <v>RACHEL DE QUEIROZ</v>
          </cell>
          <cell r="N438" t="str">
            <v>FORTALEZA</v>
          </cell>
          <cell r="O438" t="str">
            <v>CE</v>
          </cell>
          <cell r="Q438">
            <v>60761281</v>
          </cell>
          <cell r="R438">
            <v>170102220</v>
          </cell>
          <cell r="S438">
            <v>2</v>
          </cell>
          <cell r="T438">
            <v>2</v>
          </cell>
          <cell r="U438" t="str">
            <v>AntiFraude: Transações: 0 - Total: R$ 154,00 (Cobrança pelo mínimo mensal) (Período de apuração: 01/08/2026 à 31/08/2026) Vencimento: 19/09/2026 Brazilian Tax Information: Valor estimado dos tributos IBS e CBS, conforme disposto no art. 12 da Lei Complementar nº 214/2025 (Reforma Tributária sobre Consumo): R$1.57 (1%)</v>
          </cell>
          <cell r="V438">
            <v>157.13999999999999</v>
          </cell>
          <cell r="W438">
            <v>3.14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157.13999999999999</v>
          </cell>
          <cell r="AC438">
            <v>0</v>
          </cell>
          <cell r="AD438">
            <v>0</v>
          </cell>
          <cell r="AE438" t="str">
            <v>Sim</v>
          </cell>
        </row>
        <row r="439">
          <cell r="F439">
            <v>122618</v>
          </cell>
          <cell r="G439">
            <v>237210</v>
          </cell>
          <cell r="H439">
            <v>57836156000124</v>
          </cell>
          <cell r="I439" t="str">
            <v>HOAD PERFORMANCE LTDA</v>
          </cell>
          <cell r="J439" t="str">
            <v>HUGO SCHLOSSER</v>
          </cell>
          <cell r="K439">
            <v>0</v>
          </cell>
          <cell r="M439" t="str">
            <v>JARDIM MALUCHE - URBANO</v>
          </cell>
          <cell r="N439" t="str">
            <v>BRUSQUE</v>
          </cell>
          <cell r="O439" t="str">
            <v>SC</v>
          </cell>
          <cell r="Q439">
            <v>88354300</v>
          </cell>
          <cell r="R439">
            <v>170102220</v>
          </cell>
          <cell r="S439">
            <v>2</v>
          </cell>
          <cell r="T439">
            <v>2</v>
          </cell>
          <cell r="U439" t="str">
            <v>AntiFraude: Transações: 91 -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v>
          </cell>
          <cell r="V439">
            <v>191.84</v>
          </cell>
          <cell r="W439">
            <v>3.84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191.84</v>
          </cell>
          <cell r="AC439">
            <v>0</v>
          </cell>
          <cell r="AD439">
            <v>0</v>
          </cell>
          <cell r="AE439" t="str">
            <v>Sim</v>
          </cell>
        </row>
        <row r="440">
          <cell r="F440">
            <v>122619</v>
          </cell>
          <cell r="G440">
            <v>237220</v>
          </cell>
          <cell r="H440">
            <v>32655804000115</v>
          </cell>
          <cell r="I440" t="str">
            <v>JOALHERIA 18K LTDA</v>
          </cell>
          <cell r="J440" t="str">
            <v>QUADRA 104 NORTE RUA NE 1</v>
          </cell>
          <cell r="K440" t="str">
            <v>S/N</v>
          </cell>
          <cell r="L440" t="str">
            <v>CONJ 02 LO TE 15-A E</v>
          </cell>
          <cell r="M440" t="str">
            <v>PLANO DIRETOR NORTE</v>
          </cell>
          <cell r="N440" t="str">
            <v>PALMAS</v>
          </cell>
          <cell r="O440" t="str">
            <v>TO</v>
          </cell>
          <cell r="Q440">
            <v>77006016</v>
          </cell>
          <cell r="R440">
            <v>170102220</v>
          </cell>
          <cell r="S440">
            <v>2</v>
          </cell>
          <cell r="T440">
            <v>2</v>
          </cell>
          <cell r="U440" t="str">
            <v>AntiFraude: Transações: 0 - Total: R$ 196,00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R$2.00 (1%)</v>
          </cell>
          <cell r="V440">
            <v>200</v>
          </cell>
          <cell r="W440">
            <v>4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200</v>
          </cell>
          <cell r="AC440">
            <v>0</v>
          </cell>
          <cell r="AD440">
            <v>0</v>
          </cell>
          <cell r="AE440" t="str">
            <v>Sim</v>
          </cell>
        </row>
        <row r="441">
          <cell r="F441">
            <v>122620</v>
          </cell>
          <cell r="G441">
            <v>237246</v>
          </cell>
          <cell r="H441">
            <v>47304699000147</v>
          </cell>
          <cell r="I441" t="str">
            <v>HAP HOTELARIA LTDA</v>
          </cell>
          <cell r="J441" t="str">
            <v>TANCREDO NEVES</v>
          </cell>
          <cell r="K441">
            <v>0</v>
          </cell>
          <cell r="M441" t="str">
            <v>NOSSA SENHORA DA VITORIA</v>
          </cell>
          <cell r="N441" t="str">
            <v>ILHEUS</v>
          </cell>
          <cell r="O441" t="str">
            <v>BA</v>
          </cell>
          <cell r="Q441">
            <v>45655650</v>
          </cell>
          <cell r="R441">
            <v>170102220</v>
          </cell>
          <cell r="S441">
            <v>2</v>
          </cell>
          <cell r="T441">
            <v>2</v>
          </cell>
          <cell r="U441" t="str">
            <v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v>
          </cell>
          <cell r="V441">
            <v>222.45</v>
          </cell>
          <cell r="W441">
            <v>4.45</v>
          </cell>
          <cell r="X441">
            <v>0</v>
          </cell>
          <cell r="Y441">
            <v>1.45</v>
          </cell>
          <cell r="Z441">
            <v>6.67</v>
          </cell>
          <cell r="AA441">
            <v>2.2200000000000002</v>
          </cell>
          <cell r="AB441">
            <v>222.45</v>
          </cell>
          <cell r="AC441">
            <v>0</v>
          </cell>
          <cell r="AD441">
            <v>0</v>
          </cell>
          <cell r="AE441" t="str">
            <v>Sim</v>
          </cell>
        </row>
        <row r="442">
          <cell r="F442">
            <v>122621</v>
          </cell>
          <cell r="G442">
            <v>237259</v>
          </cell>
          <cell r="H442">
            <v>12600200000164</v>
          </cell>
          <cell r="I442" t="str">
            <v>JARDIM DO ALCHYMIST RESTAURANTE LTD</v>
          </cell>
          <cell r="J442" t="str">
            <v>BARAO DE ARACATI</v>
          </cell>
          <cell r="K442">
            <v>0</v>
          </cell>
          <cell r="M442" t="str">
            <v>MEIRELES</v>
          </cell>
          <cell r="N442" t="str">
            <v>FORTALEZA</v>
          </cell>
          <cell r="O442" t="str">
            <v>CE</v>
          </cell>
          <cell r="Q442">
            <v>60115080</v>
          </cell>
          <cell r="R442">
            <v>170102220</v>
          </cell>
          <cell r="S442">
            <v>2</v>
          </cell>
          <cell r="T442">
            <v>2</v>
          </cell>
          <cell r="U442" t="str">
            <v>AntiFraude: Transações: 0 - Total: R$ 642,00 (Cobrança pelo mínimo mensal) (Período de apuração: 01/08/2026 à 31/08/2026) Vencimento: 19/09/2026 Brazilian Tax Information: Valor estimado dos tributos IBS e CBS, conforme disposto no art. 12 da Lei Complementar nº 214/2025 (Reforma Tributária sobre Consumo): R$6.55 (1%)</v>
          </cell>
          <cell r="V442">
            <v>655.1</v>
          </cell>
          <cell r="W442">
            <v>13.1</v>
          </cell>
          <cell r="X442">
            <v>0</v>
          </cell>
          <cell r="Y442">
            <v>4.26</v>
          </cell>
          <cell r="Z442">
            <v>19.649999999999999</v>
          </cell>
          <cell r="AA442">
            <v>6.55</v>
          </cell>
          <cell r="AB442">
            <v>655.1</v>
          </cell>
          <cell r="AC442">
            <v>0</v>
          </cell>
          <cell r="AD442">
            <v>0</v>
          </cell>
          <cell r="AE442" t="str">
            <v>Sim</v>
          </cell>
        </row>
        <row r="443">
          <cell r="F443">
            <v>122622</v>
          </cell>
          <cell r="G443">
            <v>237262</v>
          </cell>
          <cell r="H443">
            <v>42927255000144</v>
          </cell>
          <cell r="I443" t="str">
            <v>LUCAS CARVALHO DE MANCILHA</v>
          </cell>
          <cell r="J443" t="str">
            <v>PEDRO PENHA</v>
          </cell>
          <cell r="K443">
            <v>0</v>
          </cell>
          <cell r="M443" t="str">
            <v>CENTRO</v>
          </cell>
          <cell r="N443" t="str">
            <v>ITANHANDU</v>
          </cell>
          <cell r="O443" t="str">
            <v>MG</v>
          </cell>
          <cell r="Q443">
            <v>37464000</v>
          </cell>
          <cell r="R443">
            <v>170102220</v>
          </cell>
          <cell r="S443">
            <v>2</v>
          </cell>
          <cell r="T443">
            <v>2</v>
          </cell>
          <cell r="U443" t="str">
            <v>AntiFraude: Transações: 13 -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v>
          </cell>
          <cell r="V443">
            <v>191.84</v>
          </cell>
          <cell r="W443">
            <v>3.84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191.84</v>
          </cell>
          <cell r="AC443">
            <v>0</v>
          </cell>
          <cell r="AD443">
            <v>0</v>
          </cell>
          <cell r="AE443" t="str">
            <v>Sim</v>
          </cell>
        </row>
        <row r="444">
          <cell r="F444">
            <v>122623</v>
          </cell>
          <cell r="G444">
            <v>237277</v>
          </cell>
          <cell r="H444">
            <v>65952109000174</v>
          </cell>
          <cell r="I444" t="str">
            <v>LUMEN PIXEL DIGITAL SOLUTIONS LTDA</v>
          </cell>
          <cell r="J444" t="str">
            <v>PAULISTA</v>
          </cell>
          <cell r="K444">
            <v>0</v>
          </cell>
          <cell r="M444" t="str">
            <v>BELA VISTA</v>
          </cell>
          <cell r="N444" t="str">
            <v>SAO PAULO</v>
          </cell>
          <cell r="O444" t="str">
            <v>SP</v>
          </cell>
          <cell r="Q444">
            <v>1310200</v>
          </cell>
          <cell r="R444">
            <v>170102220</v>
          </cell>
          <cell r="S444">
            <v>2</v>
          </cell>
          <cell r="T444">
            <v>2</v>
          </cell>
          <cell r="U444" t="str">
            <v>AntiFraude: Transações: 0 - Total: R$ 1.800,00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R$18.37 (1%)</v>
          </cell>
          <cell r="V444">
            <v>1836.74</v>
          </cell>
          <cell r="W444">
            <v>36.729999999999997</v>
          </cell>
          <cell r="X444">
            <v>27.55</v>
          </cell>
          <cell r="Y444">
            <v>11.94</v>
          </cell>
          <cell r="Z444">
            <v>55.1</v>
          </cell>
          <cell r="AA444">
            <v>18.37</v>
          </cell>
          <cell r="AB444">
            <v>1836.74</v>
          </cell>
          <cell r="AC444">
            <v>0</v>
          </cell>
          <cell r="AD444">
            <v>0</v>
          </cell>
          <cell r="AE444" t="str">
            <v>Sim</v>
          </cell>
        </row>
        <row r="445">
          <cell r="F445">
            <v>122624</v>
          </cell>
          <cell r="G445">
            <v>237264</v>
          </cell>
          <cell r="H445">
            <v>60219112000160</v>
          </cell>
          <cell r="I445" t="str">
            <v>HOLI4U LTDA</v>
          </cell>
          <cell r="J445" t="str">
            <v>QUEIROZ FILHO</v>
          </cell>
          <cell r="K445">
            <v>0</v>
          </cell>
          <cell r="M445" t="str">
            <v>VILA HAMBURGUESA</v>
          </cell>
          <cell r="N445" t="str">
            <v>SAO PAULO</v>
          </cell>
          <cell r="O445" t="str">
            <v>SP</v>
          </cell>
          <cell r="Q445">
            <v>5319000</v>
          </cell>
          <cell r="R445">
            <v>170102220</v>
          </cell>
          <cell r="S445">
            <v>2</v>
          </cell>
          <cell r="T445">
            <v>2</v>
          </cell>
          <cell r="U445" t="str">
            <v>AntiFraude: Transações: 0 -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v>
          </cell>
          <cell r="V445">
            <v>195.92</v>
          </cell>
          <cell r="W445">
            <v>3.92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195.92</v>
          </cell>
          <cell r="AC445">
            <v>0</v>
          </cell>
          <cell r="AD445">
            <v>0</v>
          </cell>
          <cell r="AE445" t="str">
            <v>Sim</v>
          </cell>
        </row>
        <row r="446">
          <cell r="F446">
            <v>122625</v>
          </cell>
          <cell r="G446">
            <v>237272</v>
          </cell>
          <cell r="H446">
            <v>61914070000140</v>
          </cell>
          <cell r="I446" t="str">
            <v>LOWIFY PAGAMENTO SEGURO LTDA</v>
          </cell>
          <cell r="J446" t="str">
            <v>ROD. JOSE CARLOS DAUX</v>
          </cell>
          <cell r="K446">
            <v>0</v>
          </cell>
          <cell r="M446" t="str">
            <v>SACO GRANDE</v>
          </cell>
          <cell r="N446" t="str">
            <v>FLORIANOPOLIS</v>
          </cell>
          <cell r="O446" t="str">
            <v>SC</v>
          </cell>
          <cell r="Q446">
            <v>88032005</v>
          </cell>
          <cell r="R446">
            <v>170102220</v>
          </cell>
          <cell r="S446">
            <v>2</v>
          </cell>
          <cell r="T446">
            <v>2</v>
          </cell>
          <cell r="U446" t="str">
            <v>AntiFraude: Transações: 0 - Total: R$ 13.500,00 (Cobrança pelo mínimo mensal) Analista de Risco: R$ 5.000,00 (Período de apuração: 01/08/2026 à 31/08/2026) Vencimento: 19/09/2026 Brazilian Tax Information: Valor estimado dos tributos IBS e CBS, conforme disposto no art. 12 da Lei Complementar nº 214/2025 (Reforma Tributária sobre Consumo): R$137.76 (1%)</v>
          </cell>
          <cell r="V446">
            <v>18877.55</v>
          </cell>
          <cell r="W446">
            <v>377.55</v>
          </cell>
          <cell r="X446">
            <v>283.16000000000003</v>
          </cell>
          <cell r="Y446">
            <v>122.7</v>
          </cell>
          <cell r="Z446">
            <v>566.33000000000004</v>
          </cell>
          <cell r="AA446">
            <v>188.78</v>
          </cell>
          <cell r="AB446">
            <v>18877.55</v>
          </cell>
          <cell r="AC446">
            <v>0</v>
          </cell>
          <cell r="AD446">
            <v>0</v>
          </cell>
          <cell r="AE446" t="str">
            <v>Sim</v>
          </cell>
        </row>
        <row r="447">
          <cell r="F447">
            <v>122626</v>
          </cell>
          <cell r="G447">
            <v>237255</v>
          </cell>
          <cell r="H447">
            <v>19459496000194</v>
          </cell>
          <cell r="I447" t="str">
            <v>MENDONCA &amp; PERSCH LTDA</v>
          </cell>
          <cell r="J447" t="str">
            <v>DANIEL COMBONI</v>
          </cell>
          <cell r="K447">
            <v>0</v>
          </cell>
          <cell r="M447" t="str">
            <v>UNIAO</v>
          </cell>
          <cell r="N447" t="str">
            <v>OURO PRETO DO OESTE</v>
          </cell>
          <cell r="O447" t="str">
            <v>RO</v>
          </cell>
          <cell r="Q447">
            <v>76920000</v>
          </cell>
          <cell r="R447">
            <v>170102220</v>
          </cell>
          <cell r="S447">
            <v>2</v>
          </cell>
          <cell r="T447">
            <v>2</v>
          </cell>
          <cell r="U447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447">
            <v>5.14</v>
          </cell>
          <cell r="W447">
            <v>0.1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5.14</v>
          </cell>
          <cell r="AC447">
            <v>0</v>
          </cell>
          <cell r="AD447">
            <v>0</v>
          </cell>
          <cell r="AE447" t="str">
            <v>Sim</v>
          </cell>
        </row>
        <row r="448">
          <cell r="F448">
            <v>122627</v>
          </cell>
          <cell r="G448">
            <v>236668</v>
          </cell>
          <cell r="H448">
            <v>38344629000121</v>
          </cell>
          <cell r="I448" t="str">
            <v>RAVI TECIDOS LTDA.</v>
          </cell>
          <cell r="J448" t="str">
            <v>RUA JOAO BOEMER</v>
          </cell>
          <cell r="K448">
            <v>81</v>
          </cell>
          <cell r="L448" t="str">
            <v>SALA 3</v>
          </cell>
          <cell r="M448" t="str">
            <v>BRAS</v>
          </cell>
          <cell r="N448" t="str">
            <v>SAO PAULO</v>
          </cell>
          <cell r="O448" t="str">
            <v>SP</v>
          </cell>
          <cell r="Q448">
            <v>3018000</v>
          </cell>
          <cell r="R448">
            <v>170102220</v>
          </cell>
          <cell r="S448">
            <v>2</v>
          </cell>
          <cell r="T448">
            <v>2</v>
          </cell>
          <cell r="U448" t="str">
            <v>Antifraude: 262 - Total: R$ 527,76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v>
          </cell>
          <cell r="V448">
            <v>538.53</v>
          </cell>
          <cell r="W448">
            <v>10.77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538.53</v>
          </cell>
          <cell r="AC448">
            <v>0</v>
          </cell>
          <cell r="AD448">
            <v>0</v>
          </cell>
          <cell r="AE448" t="str">
            <v>Sim</v>
          </cell>
        </row>
        <row r="449">
          <cell r="F449">
            <v>122628</v>
          </cell>
          <cell r="G449">
            <v>236666</v>
          </cell>
          <cell r="H449">
            <v>22094233000133</v>
          </cell>
          <cell r="I449" t="str">
            <v>QUIFA FARMACEUTICA DO BRASIL LTDA.</v>
          </cell>
          <cell r="J449" t="str">
            <v>AVENIDA NOVE DE JULHO</v>
          </cell>
          <cell r="K449">
            <v>3452</v>
          </cell>
          <cell r="L449" t="str">
            <v>ANDAR 1 SA LA 1</v>
          </cell>
          <cell r="M449" t="str">
            <v>JARDIM PAULISTA</v>
          </cell>
          <cell r="N449" t="str">
            <v>SAO PAULO</v>
          </cell>
          <cell r="O449" t="str">
            <v>SP</v>
          </cell>
          <cell r="Q449">
            <v>1406000</v>
          </cell>
          <cell r="R449">
            <v>170102220</v>
          </cell>
          <cell r="S449">
            <v>2</v>
          </cell>
          <cell r="T449">
            <v>2</v>
          </cell>
          <cell r="U449" t="str">
            <v>Antifraude: 56 - Total: R$ 492,74 (Cobrança pelo mínimo mensal) (Período de apuração: 01/08/2026 à 31/08/2026) Vencimento: 26/09/2026 Brazilian Tax Information: Valor estimado dos tributos IBS e CBS, conforme disposto no art. 12 da Lei Complementar nº 214/2025 (Reforma Tributária sobre Consumo): R$5.03 (1%)</v>
          </cell>
          <cell r="V449">
            <v>502.8</v>
          </cell>
          <cell r="W449">
            <v>10.06</v>
          </cell>
          <cell r="X449">
            <v>0</v>
          </cell>
          <cell r="Y449">
            <v>3.27</v>
          </cell>
          <cell r="Z449">
            <v>15.08</v>
          </cell>
          <cell r="AA449">
            <v>5.03</v>
          </cell>
          <cell r="AB449">
            <v>502.8</v>
          </cell>
          <cell r="AC449">
            <v>0</v>
          </cell>
          <cell r="AD449">
            <v>0</v>
          </cell>
          <cell r="AE449" t="str">
            <v>Sim</v>
          </cell>
        </row>
        <row r="450">
          <cell r="F450">
            <v>122629</v>
          </cell>
          <cell r="G450">
            <v>236663</v>
          </cell>
          <cell r="H450">
            <v>2012862000160</v>
          </cell>
          <cell r="I450" t="str">
            <v>TAM LINHAS AEREAS S/A.</v>
          </cell>
          <cell r="J450" t="str">
            <v>RUA ATICA</v>
          </cell>
          <cell r="K450">
            <v>673</v>
          </cell>
          <cell r="L450" t="str">
            <v>ANDAR 6 SA LA 62</v>
          </cell>
          <cell r="M450" t="str">
            <v>JARDIM BRASIL (ZONA SUL)</v>
          </cell>
          <cell r="N450" t="str">
            <v>SAO PAULO</v>
          </cell>
          <cell r="O450" t="str">
            <v>SP</v>
          </cell>
          <cell r="Q450">
            <v>4634042</v>
          </cell>
          <cell r="R450">
            <v>170102220</v>
          </cell>
          <cell r="S450">
            <v>2</v>
          </cell>
          <cell r="T450">
            <v>2</v>
          </cell>
          <cell r="U450" t="str">
            <v>Analista de Risco: R$ 67.783,18 Emailage: 71118 - Tarifa:  0,2405 - Total: R$ 17.103,88 Antifraude: 71190 - Tarifa:  0,5685 - Total: R$ 40.471,52 Serviço de Validação de Dados: 70960 - Tarifa:  0,2187 - Total: R$ 15.518,95 #18108887 (Período de apuração: 01/08/2026 à 31/08/2026) Vencimento: 10/12/2026 Brazilian Tax Information: Valor estimado dos tributos IBS e CBS, conforme disposto no art. 12 da Lei Complementar nº 214/2025 (Reforma Tributária sobre Consumo): R$691.67 (1%)</v>
          </cell>
          <cell r="V450">
            <v>143752.57999999999</v>
          </cell>
          <cell r="W450">
            <v>2875.05</v>
          </cell>
          <cell r="X450">
            <v>2156.2800000000002</v>
          </cell>
          <cell r="Y450">
            <v>934.38</v>
          </cell>
          <cell r="Z450">
            <v>4312.58</v>
          </cell>
          <cell r="AA450">
            <v>1437.53</v>
          </cell>
          <cell r="AB450">
            <v>143752.57999999999</v>
          </cell>
          <cell r="AC450">
            <v>0</v>
          </cell>
          <cell r="AD450">
            <v>0</v>
          </cell>
          <cell r="AE450" t="str">
            <v>Sim</v>
          </cell>
        </row>
        <row r="451">
          <cell r="F451">
            <v>122630</v>
          </cell>
          <cell r="G451">
            <v>236669</v>
          </cell>
          <cell r="H451">
            <v>72744196000130</v>
          </cell>
          <cell r="I451" t="str">
            <v>RCA OPERADORA TURISTICA LTDA</v>
          </cell>
          <cell r="J451" t="str">
            <v>AVENIDA SAO LUIZ</v>
          </cell>
          <cell r="K451">
            <v>50</v>
          </cell>
          <cell r="L451" t="str">
            <v>30 S 301/3 02</v>
          </cell>
          <cell r="M451" t="str">
            <v>CENTRO</v>
          </cell>
          <cell r="N451" t="str">
            <v>SAO PAULO</v>
          </cell>
          <cell r="O451" t="str">
            <v>SP</v>
          </cell>
          <cell r="Q451">
            <v>1046000</v>
          </cell>
          <cell r="R451">
            <v>170102220</v>
          </cell>
          <cell r="S451">
            <v>2</v>
          </cell>
          <cell r="T451">
            <v>2</v>
          </cell>
          <cell r="U451" t="str">
            <v>Antifraude: 67 - Tarifa:  1,3489 - Total: R$ 90,38 (Período de apuração: 01/08/2026 à 31/08/2026) Vencimento: 26/09/2026 Brazilian Tax Information: Valor estimado dos tributos IBS e CBS, conforme disposto no art. 12 da Lei Complementar nº 214/2025 (Reforma Tributária sobre Consumo): R$0.92 (1%)</v>
          </cell>
          <cell r="V451">
            <v>92.22</v>
          </cell>
          <cell r="W451">
            <v>1.84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92.22</v>
          </cell>
          <cell r="AC451">
            <v>0</v>
          </cell>
          <cell r="AD451">
            <v>0</v>
          </cell>
          <cell r="AE451" t="str">
            <v>Sim</v>
          </cell>
        </row>
        <row r="452">
          <cell r="F452">
            <v>122631</v>
          </cell>
          <cell r="G452">
            <v>236662</v>
          </cell>
          <cell r="H452">
            <v>45201019000134</v>
          </cell>
          <cell r="I452" t="str">
            <v>OBRAS SOCIAIS DA ARQUIDIOCESE DE APARECIDA</v>
          </cell>
          <cell r="J452" t="str">
            <v>AVENIDA DOUTOR JULIO PRESTES,</v>
          </cell>
          <cell r="K452" t="str">
            <v>S/Nº</v>
          </cell>
          <cell r="M452" t="str">
            <v>PONTE ALTA</v>
          </cell>
          <cell r="N452" t="str">
            <v>APARECIDA</v>
          </cell>
          <cell r="O452" t="str">
            <v>SP</v>
          </cell>
          <cell r="Q452">
            <v>12570900</v>
          </cell>
          <cell r="R452">
            <v>170102220</v>
          </cell>
          <cell r="S452">
            <v>2</v>
          </cell>
          <cell r="T452">
            <v>2</v>
          </cell>
          <cell r="U452" t="str">
            <v>Antifraude: 1104 - Tarifa:  1,0920 - Total: R$ 1.205,57 Análise Manual: 147 - Tarifa: 5,9507 - Total: R$ 874,75 (Período de apuração: 01/08/2026 à 31/08/2026) Vencimento: 26/09/2026 Brazilian Tax Information: Valor estimado dos tributos IBS e CBS, conforme disposto no art. 12 da Lei Complementar nº 214/2025 (Reforma Tributária sobre Consumo): R$12.30 (1%)</v>
          </cell>
          <cell r="V452">
            <v>2122.77</v>
          </cell>
          <cell r="W452">
            <v>42.46</v>
          </cell>
          <cell r="X452">
            <v>31.84</v>
          </cell>
          <cell r="Y452">
            <v>13.8</v>
          </cell>
          <cell r="Z452">
            <v>63.69</v>
          </cell>
          <cell r="AA452">
            <v>21.23</v>
          </cell>
          <cell r="AB452">
            <v>2122.77</v>
          </cell>
          <cell r="AC452">
            <v>0</v>
          </cell>
          <cell r="AD452">
            <v>0</v>
          </cell>
          <cell r="AE452" t="str">
            <v>Sim</v>
          </cell>
        </row>
        <row r="453">
          <cell r="F453">
            <v>122632</v>
          </cell>
          <cell r="G453">
            <v>236677</v>
          </cell>
          <cell r="H453">
            <v>9026659000191</v>
          </cell>
          <cell r="I453" t="str">
            <v>SEAWAY CONFECCOES LTDA</v>
          </cell>
          <cell r="J453" t="str">
            <v>RUA PROF AURELIO DE CASTRO CAVALCANTI</v>
          </cell>
          <cell r="K453">
            <v>211</v>
          </cell>
          <cell r="M453" t="str">
            <v>BOA VIAGEM</v>
          </cell>
          <cell r="N453" t="str">
            <v>RECIFE</v>
          </cell>
          <cell r="O453" t="str">
            <v>PE</v>
          </cell>
          <cell r="Q453">
            <v>51130280</v>
          </cell>
          <cell r="R453">
            <v>170102220</v>
          </cell>
          <cell r="S453">
            <v>2</v>
          </cell>
          <cell r="T453">
            <v>2</v>
          </cell>
          <cell r="U453" t="str">
            <v>Antifraude: 175 -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v>
          </cell>
          <cell r="V453">
            <v>154.13</v>
          </cell>
          <cell r="W453">
            <v>3.08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154.13</v>
          </cell>
          <cell r="AC453">
            <v>0</v>
          </cell>
          <cell r="AD453">
            <v>0</v>
          </cell>
          <cell r="AE453" t="str">
            <v>Sim</v>
          </cell>
        </row>
        <row r="454">
          <cell r="F454">
            <v>122633</v>
          </cell>
          <cell r="G454">
            <v>236660</v>
          </cell>
          <cell r="H454">
            <v>21083433000128</v>
          </cell>
          <cell r="I454" t="str">
            <v>VENTURA LEGNER COMERCIO E SERVICOSLTDA.</v>
          </cell>
          <cell r="J454" t="str">
            <v>RUA HELENA</v>
          </cell>
          <cell r="K454">
            <v>218</v>
          </cell>
          <cell r="L454" t="str">
            <v>CONJ 107/1 08</v>
          </cell>
          <cell r="M454" t="str">
            <v>VILA OLIMPIA</v>
          </cell>
          <cell r="N454" t="str">
            <v>SAO PAULO</v>
          </cell>
          <cell r="O454" t="str">
            <v>SP</v>
          </cell>
          <cell r="Q454">
            <v>4552050</v>
          </cell>
          <cell r="R454">
            <v>170102220</v>
          </cell>
          <cell r="S454">
            <v>2</v>
          </cell>
          <cell r="T454">
            <v>2</v>
          </cell>
          <cell r="U454" t="str">
            <v>Antifraude: 2 - Total: R$ 440,48 (Cobrança pelo mínimo mensal) Análise Manual Expressa: 1 - Tarifa: 14,5400 - Total: R$ 14,54 (Período de apuração: 01/08/2026 à 31/08/2026) Vencimento: 26/09/2026 Brazilian Tax Information: Valor estimado dos tributos IBS e CBS, conforme disposto no art. 12 da Lei Complementar nº 214/2025 (Reforma Tributária sobre Consumo): R$4.49 (1%)</v>
          </cell>
          <cell r="V454">
            <v>464.31</v>
          </cell>
          <cell r="W454">
            <v>9.2899999999999991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464.31</v>
          </cell>
          <cell r="AC454">
            <v>0</v>
          </cell>
          <cell r="AD454">
            <v>0</v>
          </cell>
          <cell r="AE454" t="str">
            <v>Sim</v>
          </cell>
        </row>
        <row r="455">
          <cell r="F455">
            <v>122634</v>
          </cell>
          <cell r="G455">
            <v>236673</v>
          </cell>
          <cell r="H455">
            <v>10348318000383</v>
          </cell>
          <cell r="I455" t="str">
            <v>WINDSOR ADMINISTRACAO DE HOTEIS E SERVICOS S.A.</v>
          </cell>
          <cell r="J455" t="str">
            <v>AVENIDA PRINCESA IZABEL</v>
          </cell>
          <cell r="K455">
            <v>263</v>
          </cell>
          <cell r="M455" t="str">
            <v>COPACABANA</v>
          </cell>
          <cell r="N455" t="str">
            <v>RIO DE JANEIRO</v>
          </cell>
          <cell r="O455" t="str">
            <v>RJ</v>
          </cell>
          <cell r="Q455">
            <v>22011011</v>
          </cell>
          <cell r="R455">
            <v>170102220</v>
          </cell>
          <cell r="S455">
            <v>2</v>
          </cell>
          <cell r="T455">
            <v>2</v>
          </cell>
          <cell r="U455" t="str">
            <v>Analista de Risco: R$ 30.231,22 Emailage: 5054 - Tarifa:  0,3124 - Total: R$ 1.578,87 Antifraude: 5109 - Tarifa:  1,1450 - Total: R$ 5.849,81 (Período de apuração: 01/08/2026 à 31/08/2026) Vencimento: 26/09/2026 Brazilian Tax Information: Valor estimado dos tributos IBS e CBS, conforme disposto no art. 12 da Lei Complementar nº 214/2025 (Reforma Tributária sobre Consumo): R$308.48 (1%)</v>
          </cell>
          <cell r="V455">
            <v>38428.46</v>
          </cell>
          <cell r="W455">
            <v>768.57</v>
          </cell>
          <cell r="X455">
            <v>576.42999999999995</v>
          </cell>
          <cell r="Y455">
            <v>249.78</v>
          </cell>
          <cell r="Z455">
            <v>1152.8599999999999</v>
          </cell>
          <cell r="AA455">
            <v>384.28</v>
          </cell>
          <cell r="AB455">
            <v>38428.46</v>
          </cell>
          <cell r="AC455">
            <v>0</v>
          </cell>
          <cell r="AD455">
            <v>0</v>
          </cell>
          <cell r="AE455" t="str">
            <v>Sim</v>
          </cell>
        </row>
        <row r="456">
          <cell r="F456">
            <v>122635</v>
          </cell>
          <cell r="G456">
            <v>236664</v>
          </cell>
          <cell r="H456">
            <v>57655449000105</v>
          </cell>
          <cell r="I456" t="str">
            <v>SC MAIOLO EQUIPAMENTOS COMERCIAIS L</v>
          </cell>
          <cell r="J456" t="str">
            <v>CIDADE JARDIM</v>
          </cell>
          <cell r="K456">
            <v>0</v>
          </cell>
          <cell r="M456" t="str">
            <v>JARDIM SATELITE</v>
          </cell>
          <cell r="N456" t="str">
            <v>SAO JOSE DOS CAMPOS</v>
          </cell>
          <cell r="O456" t="str">
            <v>SP</v>
          </cell>
          <cell r="Q456">
            <v>12231675</v>
          </cell>
          <cell r="R456">
            <v>170102220</v>
          </cell>
          <cell r="S456">
            <v>2</v>
          </cell>
          <cell r="T456">
            <v>2</v>
          </cell>
          <cell r="U456" t="str">
            <v>Antifraude: 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456">
            <v>222.45</v>
          </cell>
          <cell r="W456">
            <v>4.45</v>
          </cell>
          <cell r="X456">
            <v>0</v>
          </cell>
          <cell r="Y456">
            <v>1.45</v>
          </cell>
          <cell r="Z456">
            <v>6.67</v>
          </cell>
          <cell r="AA456">
            <v>2.2200000000000002</v>
          </cell>
          <cell r="AB456">
            <v>222.45</v>
          </cell>
          <cell r="AC456">
            <v>0</v>
          </cell>
          <cell r="AD456">
            <v>0</v>
          </cell>
          <cell r="AE456" t="str">
            <v>Sim</v>
          </cell>
        </row>
        <row r="457">
          <cell r="F457">
            <v>122636</v>
          </cell>
          <cell r="G457">
            <v>236674</v>
          </cell>
          <cell r="H457">
            <v>56992217000260</v>
          </cell>
          <cell r="I457" t="str">
            <v>WELEDA DO BRASIL LABORATORIO E FARMLTDA</v>
          </cell>
          <cell r="J457" t="str">
            <v>DA FRATERNIDADE</v>
          </cell>
          <cell r="K457">
            <v>0</v>
          </cell>
          <cell r="M457" t="str">
            <v>SANTO AMARO</v>
          </cell>
          <cell r="N457" t="str">
            <v>SAO PAULO</v>
          </cell>
          <cell r="O457" t="str">
            <v>SP</v>
          </cell>
          <cell r="Q457">
            <v>4738020</v>
          </cell>
          <cell r="R457">
            <v>170102220</v>
          </cell>
          <cell r="S457">
            <v>2</v>
          </cell>
          <cell r="T457">
            <v>2</v>
          </cell>
          <cell r="U457" t="str">
            <v>Analista de Risco: R$ 3.737,36 Emailage: 1081 - Tarifa:  2,8616 - Total: R$ 3.093,39 Antifraude: 1083 - Tarifa:  2,8616 - Total: R$ 3.099,11 Análise Manual Expressa: 66 - Tarifa: 2,6800 - Total: R$ 176,88 (Período de apuração: 01/08/2026 à 31/08/2026) Vencimento: 19/09/2026 Brazilian Tax Information: Valor estimado dos tributos IBS e CBS, conforme disposto no art. 12 da Lei Complementar nº 214/2025 (Reforma Tributária sobre Consumo): R$38.14 (1%)</v>
          </cell>
          <cell r="V457">
            <v>10313</v>
          </cell>
          <cell r="W457">
            <v>206.26</v>
          </cell>
          <cell r="X457">
            <v>154.69999999999999</v>
          </cell>
          <cell r="Y457">
            <v>67.040000000000006</v>
          </cell>
          <cell r="Z457">
            <v>309.39</v>
          </cell>
          <cell r="AA457">
            <v>103.13</v>
          </cell>
          <cell r="AB457">
            <v>10313</v>
          </cell>
          <cell r="AC457">
            <v>0</v>
          </cell>
          <cell r="AD457">
            <v>0</v>
          </cell>
          <cell r="AE457" t="str">
            <v>Sim</v>
          </cell>
        </row>
        <row r="458">
          <cell r="F458">
            <v>122637</v>
          </cell>
          <cell r="G458">
            <v>236685</v>
          </cell>
          <cell r="H458">
            <v>27363203000107</v>
          </cell>
          <cell r="I458" t="str">
            <v>PIVOT 30 INDUSTRIA DE VINHOS LTDA</v>
          </cell>
          <cell r="J458" t="str">
            <v>RODOVIA BA 142, KM 226</v>
          </cell>
          <cell r="K458" t="str">
            <v>S/N</v>
          </cell>
          <cell r="M458" t="str">
            <v>ZONA RURAL</v>
          </cell>
          <cell r="N458" t="str">
            <v>MUCUGE</v>
          </cell>
          <cell r="O458" t="str">
            <v>BA</v>
          </cell>
          <cell r="Q458">
            <v>46750000</v>
          </cell>
          <cell r="R458">
            <v>170102220</v>
          </cell>
          <cell r="S458">
            <v>2</v>
          </cell>
          <cell r="T458">
            <v>2</v>
          </cell>
          <cell r="U458" t="str">
            <v>Analista de Risco: R$ 3.478,00 Antifraude: 74 -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R$35.49 (1%)</v>
          </cell>
          <cell r="V458">
            <v>3704.08</v>
          </cell>
          <cell r="W458">
            <v>74.08</v>
          </cell>
          <cell r="X458">
            <v>55.56</v>
          </cell>
          <cell r="Y458">
            <v>24.08</v>
          </cell>
          <cell r="Z458">
            <v>111.12</v>
          </cell>
          <cell r="AA458">
            <v>37.04</v>
          </cell>
          <cell r="AB458">
            <v>3704.08</v>
          </cell>
          <cell r="AC458">
            <v>0</v>
          </cell>
          <cell r="AD458">
            <v>0</v>
          </cell>
          <cell r="AE458" t="str">
            <v>Sim</v>
          </cell>
        </row>
        <row r="459">
          <cell r="F459">
            <v>122638</v>
          </cell>
          <cell r="G459">
            <v>236699</v>
          </cell>
          <cell r="H459">
            <v>60494416003312</v>
          </cell>
          <cell r="I459" t="str">
            <v>PAGUE MENOS COMERCIO DE PRODUTOS ALIMENTICIOS LTDA</v>
          </cell>
          <cell r="J459" t="str">
            <v>RODOVIA LUIZ DE QUEIROZ</v>
          </cell>
          <cell r="K459" t="str">
            <v>S/N</v>
          </cell>
          <cell r="L459" t="str">
            <v>KM 142 SP 304 GLEBA</v>
          </cell>
          <cell r="M459" t="str">
            <v>VALE DAS CIGARRAS</v>
          </cell>
          <cell r="N459" t="str">
            <v>SANTA BARBARA D'OESTE</v>
          </cell>
          <cell r="O459" t="str">
            <v>SP</v>
          </cell>
          <cell r="Q459">
            <v>13459057</v>
          </cell>
          <cell r="R459">
            <v>170102220</v>
          </cell>
          <cell r="S459">
            <v>2</v>
          </cell>
          <cell r="T459">
            <v>2</v>
          </cell>
          <cell r="U459" t="str">
            <v>Analista de Risco: R$ 0,01 Antifraude: 4237 - Tarifa:  2,0000 - Total: R$ 8.474,00 (Período de apuração: 01/08/2026 à 31/08/2026) Vencimento: 11/10/2026 Brazilian Tax Information: Valor estimado dos tributos IBS e CBS, conforme disposto no art. 12 da Lei Complementar nº 214/2025 (Reforma Tributária sobre Consumo): R$0.00 (1%)</v>
          </cell>
          <cell r="V459">
            <v>8646.9500000000007</v>
          </cell>
          <cell r="W459">
            <v>172.94</v>
          </cell>
          <cell r="X459">
            <v>129.69999999999999</v>
          </cell>
          <cell r="Y459">
            <v>56.21</v>
          </cell>
          <cell r="Z459">
            <v>259.41000000000003</v>
          </cell>
          <cell r="AA459">
            <v>86.47</v>
          </cell>
          <cell r="AB459">
            <v>8646.9500000000007</v>
          </cell>
          <cell r="AC459">
            <v>0</v>
          </cell>
          <cell r="AD459">
            <v>0</v>
          </cell>
          <cell r="AE459" t="str">
            <v>Sim</v>
          </cell>
        </row>
        <row r="460">
          <cell r="F460">
            <v>122639</v>
          </cell>
          <cell r="G460">
            <v>236683</v>
          </cell>
          <cell r="H460">
            <v>71322150000160</v>
          </cell>
          <cell r="I460" t="str">
            <v>SAVEGNAGO-SUPERMERCADOS LTDA</v>
          </cell>
          <cell r="J460" t="str">
            <v>AVENIDA NOSSA SENHORA APARECIDA</v>
          </cell>
          <cell r="K460">
            <v>2021</v>
          </cell>
          <cell r="M460" t="str">
            <v>SAO JOAO</v>
          </cell>
          <cell r="N460" t="str">
            <v>SERTAOZINHO</v>
          </cell>
          <cell r="O460" t="str">
            <v>SP</v>
          </cell>
          <cell r="Q460">
            <v>14170150</v>
          </cell>
          <cell r="R460">
            <v>170102220</v>
          </cell>
          <cell r="S460">
            <v>2</v>
          </cell>
          <cell r="T460">
            <v>2</v>
          </cell>
          <cell r="U460" t="str">
            <v>Emailage: 2573 - Tarifa:  0,5073 - Total: R$ 1.305,28 Antifraude: 4682 - Total: R$ 8.319,72 (Cobrança pelo mínimo mensal) (Período de apuração: 01/08/2026 à 31/08/2026) Vencimento: 26/09/2026 Brazilian Tax Information: Valor estimado dos tributos IBS e CBS, conforme disposto no art. 12 da Lei Complementar nº 214/2025 (Reforma Tributária sobre Consumo): R$13.32 (1%)</v>
          </cell>
          <cell r="V460">
            <v>9821.43</v>
          </cell>
          <cell r="W460">
            <v>196.43</v>
          </cell>
          <cell r="X460">
            <v>147.32</v>
          </cell>
          <cell r="Y460">
            <v>63.84</v>
          </cell>
          <cell r="Z460">
            <v>294.64999999999998</v>
          </cell>
          <cell r="AA460">
            <v>98.22</v>
          </cell>
          <cell r="AB460">
            <v>9821.43</v>
          </cell>
          <cell r="AC460">
            <v>0</v>
          </cell>
          <cell r="AD460">
            <v>0</v>
          </cell>
          <cell r="AE460" t="str">
            <v>Sim</v>
          </cell>
        </row>
        <row r="461">
          <cell r="F461">
            <v>122640</v>
          </cell>
          <cell r="G461">
            <v>236682</v>
          </cell>
          <cell r="H461">
            <v>34308177000171</v>
          </cell>
          <cell r="I461" t="str">
            <v>ZAPPING DO BRASIL LTDA</v>
          </cell>
          <cell r="J461" t="str">
            <v>RUA PROF JOSE LEITE E OITICICA</v>
          </cell>
          <cell r="K461">
            <v>530</v>
          </cell>
          <cell r="L461" t="str">
            <v>SALA 32</v>
          </cell>
          <cell r="M461" t="str">
            <v>VILA GERTRUDES</v>
          </cell>
          <cell r="N461" t="str">
            <v>SAO PAULO</v>
          </cell>
          <cell r="O461" t="str">
            <v>SP</v>
          </cell>
          <cell r="Q461">
            <v>4705080</v>
          </cell>
          <cell r="R461">
            <v>170102220</v>
          </cell>
          <cell r="S461">
            <v>2</v>
          </cell>
          <cell r="T461">
            <v>2</v>
          </cell>
          <cell r="U461" t="str">
            <v>Analista de Risco: R$ 3.461,73 Emailage: 1039 - Tarifa:  0,6300 - Total: R$ 654,57 Antifraude: 1039 - Tarifa:  0,8900 - Total: R$ 924,71 (Período de apuração: 01/08/2026 à 31/08/2026) Vencimento: 26/09/2026 Brazilian Tax Information: Valor estimado dos tributos IBS e CBS, conforme disposto no art. 12 da Lei Complementar nº 214/2025 (Reforma Tributária sobre Consumo): R$35.32 (1%)</v>
          </cell>
          <cell r="V461">
            <v>5143.8900000000003</v>
          </cell>
          <cell r="W461">
            <v>102.88</v>
          </cell>
          <cell r="X461">
            <v>77.16</v>
          </cell>
          <cell r="Y461">
            <v>33.43</v>
          </cell>
          <cell r="Z461">
            <v>154.32</v>
          </cell>
          <cell r="AA461">
            <v>51.44</v>
          </cell>
          <cell r="AB461">
            <v>5143.8900000000003</v>
          </cell>
          <cell r="AC461">
            <v>0</v>
          </cell>
          <cell r="AD461">
            <v>0</v>
          </cell>
          <cell r="AE461" t="str">
            <v>Sim</v>
          </cell>
        </row>
        <row r="462">
          <cell r="F462">
            <v>122641</v>
          </cell>
          <cell r="G462">
            <v>236693</v>
          </cell>
          <cell r="H462">
            <v>60517984000104</v>
          </cell>
          <cell r="I462" t="str">
            <v>SAO PAULO FUTEBOL CLUBE</v>
          </cell>
          <cell r="J462" t="str">
            <v>PRACA ROBERTO GOMES PEDROSA</v>
          </cell>
          <cell r="K462" t="str">
            <v>SN</v>
          </cell>
          <cell r="M462" t="str">
            <v>MORUMBI</v>
          </cell>
          <cell r="N462" t="str">
            <v>SAO PAULO</v>
          </cell>
          <cell r="O462" t="str">
            <v>SP</v>
          </cell>
          <cell r="Q462">
            <v>5653070</v>
          </cell>
          <cell r="R462">
            <v>170102220</v>
          </cell>
          <cell r="S462">
            <v>2</v>
          </cell>
          <cell r="T462">
            <v>2</v>
          </cell>
          <cell r="U462" t="str">
            <v>Analista de Risco: R$ 6.620,46 Antifraude: 36775 - Total: R$ 22.584,31 (Cobrança pelo mínimo mensal) Analista Advanced (Período de apuração: 01/08/2026 à 31/08/2026) Vencimento: 26/09/2026 Brazilian Tax Information: Valor estimado dos tributos IBS e CBS, conforme disposto no art. 12 da Lei Complementar nº 214/2025 (Reforma Tributária sobre Consumo): R$67.56 (1%)</v>
          </cell>
          <cell r="V462">
            <v>29800.78</v>
          </cell>
          <cell r="W462">
            <v>596.02</v>
          </cell>
          <cell r="X462">
            <v>447.01</v>
          </cell>
          <cell r="Y462">
            <v>193.7</v>
          </cell>
          <cell r="Z462">
            <v>894.03</v>
          </cell>
          <cell r="AA462">
            <v>298.01</v>
          </cell>
          <cell r="AB462">
            <v>29800.78</v>
          </cell>
          <cell r="AC462">
            <v>0</v>
          </cell>
          <cell r="AD462">
            <v>0</v>
          </cell>
          <cell r="AE462" t="str">
            <v>Sim</v>
          </cell>
        </row>
        <row r="463">
          <cell r="F463">
            <v>122642</v>
          </cell>
          <cell r="G463">
            <v>236684</v>
          </cell>
          <cell r="H463">
            <v>1637895000132</v>
          </cell>
          <cell r="I463" t="str">
            <v>VOTORANTIM CIMENTOS S.A.</v>
          </cell>
          <cell r="J463" t="str">
            <v>RUA GOMES DE CARVALHO</v>
          </cell>
          <cell r="K463">
            <v>1996</v>
          </cell>
          <cell r="L463" t="str">
            <v>ANDAR 12 C ONJ 122</v>
          </cell>
          <cell r="M463" t="str">
            <v>VILA OLIMPIA</v>
          </cell>
          <cell r="N463" t="str">
            <v>SAO PAULO</v>
          </cell>
          <cell r="O463" t="str">
            <v>SP</v>
          </cell>
          <cell r="Q463">
            <v>4547905</v>
          </cell>
          <cell r="R463">
            <v>170102220</v>
          </cell>
          <cell r="S463">
            <v>2</v>
          </cell>
          <cell r="T463">
            <v>2</v>
          </cell>
          <cell r="U463" t="str">
            <v>Analista de Risco: R$ 5.018,16 Emailage: 1452 - Tarifa:  0,5581 - Total: R$ 810,36 Serviço de Validação de Dados: 1353 - Tarifa:  0,4950 - Total: R$ 669,74 Antifraude: 1452 - Tarifa:  0,5315 - Total: R$ 771,74 Análise Manual Expressa: 87 - Tarifa: 8,5000 - Total: R$ 739,50 (Período de apuração: 01/08/2026 à 31/08/2026) Vencimento: 11/10/2026 Brazilian Tax Information: Valor estimado dos tributos IBS e CBS, conforme disposto no art. 12 da Lei Complementar nº 214/2025 (Reforma Tributária sobre Consumo): R$51.21 (1%)</v>
          </cell>
          <cell r="V463">
            <v>8172.96</v>
          </cell>
          <cell r="W463">
            <v>163.46</v>
          </cell>
          <cell r="X463">
            <v>122.59</v>
          </cell>
          <cell r="Y463">
            <v>53.11</v>
          </cell>
          <cell r="Z463">
            <v>245.19</v>
          </cell>
          <cell r="AA463">
            <v>81.73</v>
          </cell>
          <cell r="AB463">
            <v>8172.96</v>
          </cell>
          <cell r="AC463">
            <v>0</v>
          </cell>
          <cell r="AD463">
            <v>0</v>
          </cell>
          <cell r="AE463" t="str">
            <v>Sim</v>
          </cell>
        </row>
        <row r="464">
          <cell r="F464">
            <v>122643</v>
          </cell>
          <cell r="G464">
            <v>236715</v>
          </cell>
          <cell r="H464">
            <v>34669665000376</v>
          </cell>
          <cell r="I464" t="str">
            <v>P4 PAGAMENTOS LTDA</v>
          </cell>
          <cell r="J464" t="str">
            <v>RUA PEDROSO</v>
          </cell>
          <cell r="K464">
            <v>322</v>
          </cell>
          <cell r="M464" t="str">
            <v>BELA VISTA</v>
          </cell>
          <cell r="N464" t="str">
            <v>SAO PAULO</v>
          </cell>
          <cell r="O464" t="str">
            <v>SP</v>
          </cell>
          <cell r="Q464">
            <v>1322010</v>
          </cell>
          <cell r="R464">
            <v>170102220</v>
          </cell>
          <cell r="S464">
            <v>2</v>
          </cell>
          <cell r="T464">
            <v>2</v>
          </cell>
          <cell r="U464" t="str">
            <v>Analista de Risco: R$ 8.663,08 Antifraude: 65083 - Tarifa:  0,4824 - Total: R$ 31.396,04 (Período de apuração: 01/08/2026 à 31/08/2026) Vencimento: 26/09/2026 Brazilian Tax Information: Valor estimado dos tributos IBS e CBS, conforme disposto no art. 12 da Lei Complementar nº 214/2025 (Reforma Tributária sobre Consumo): R$88.40 (1%)</v>
          </cell>
          <cell r="V464">
            <v>40876.660000000003</v>
          </cell>
          <cell r="W464">
            <v>817.53</v>
          </cell>
          <cell r="X464">
            <v>613.15</v>
          </cell>
          <cell r="Y464">
            <v>265.7</v>
          </cell>
          <cell r="Z464">
            <v>1226.3</v>
          </cell>
          <cell r="AA464">
            <v>408.77</v>
          </cell>
          <cell r="AB464">
            <v>40876.660000000003</v>
          </cell>
          <cell r="AC464">
            <v>0</v>
          </cell>
          <cell r="AD464">
            <v>0</v>
          </cell>
          <cell r="AE464" t="str">
            <v>Sim</v>
          </cell>
        </row>
        <row r="465">
          <cell r="F465">
            <v>122644</v>
          </cell>
          <cell r="G465">
            <v>236710</v>
          </cell>
          <cell r="H465">
            <v>30050246000139</v>
          </cell>
          <cell r="I465" t="str">
            <v>PARDO SERVICOS IMOBILIARIOS E ADMINISTRACAO HOTELEIRA S/A</v>
          </cell>
          <cell r="J465" t="str">
            <v>AVENIDA CABO BRANCO</v>
          </cell>
          <cell r="K465">
            <v>1148</v>
          </cell>
          <cell r="M465" t="str">
            <v>CABO BRANCO</v>
          </cell>
          <cell r="N465" t="str">
            <v>JOAO PESSOA</v>
          </cell>
          <cell r="O465" t="str">
            <v>PB</v>
          </cell>
          <cell r="Q465">
            <v>58045010</v>
          </cell>
          <cell r="R465">
            <v>170102220</v>
          </cell>
          <cell r="S465">
            <v>2</v>
          </cell>
          <cell r="T465">
            <v>2</v>
          </cell>
          <cell r="U465" t="str">
            <v>Antifraude: 38 - Total: R$ 133,91 (Cobrança pelo mínimo mensal) (Período de apuração: 01/08/2026 à 31/08/2026) Vencimento: 26/09/2026 Brazilian Tax Information: Valor estimado dos tributos IBS e CBS, conforme disposto no art. 12 da Lei Complementar nº 214/2025 (Reforma Tributária sobre Consumo): R$1.37 (1%)</v>
          </cell>
          <cell r="V465">
            <v>136.63999999999999</v>
          </cell>
          <cell r="W465">
            <v>2.73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136.63999999999999</v>
          </cell>
          <cell r="AC465">
            <v>0</v>
          </cell>
          <cell r="AD465">
            <v>0</v>
          </cell>
          <cell r="AE465" t="str">
            <v>Sim</v>
          </cell>
        </row>
        <row r="466">
          <cell r="F466">
            <v>122645</v>
          </cell>
          <cell r="G466">
            <v>236711</v>
          </cell>
          <cell r="H466">
            <v>12864001000163</v>
          </cell>
          <cell r="I466" t="str">
            <v>RIBEIRO &amp; AVIDAGO TURISMO LTDA</v>
          </cell>
          <cell r="J466" t="str">
            <v>RUA FERNANDO LOBO</v>
          </cell>
          <cell r="K466">
            <v>102</v>
          </cell>
          <cell r="L466" t="str">
            <v>SALA 304 S ALA 306</v>
          </cell>
          <cell r="M466" t="str">
            <v>CENTRO</v>
          </cell>
          <cell r="N466" t="str">
            <v>JUIZ DE FORA</v>
          </cell>
          <cell r="O466" t="str">
            <v>MG</v>
          </cell>
          <cell r="Q466">
            <v>36016230</v>
          </cell>
          <cell r="R466">
            <v>170102220</v>
          </cell>
          <cell r="S466">
            <v>2</v>
          </cell>
          <cell r="T466">
            <v>2</v>
          </cell>
          <cell r="U466" t="str">
            <v>Antifraude: 7 - Total: R$ 178,09 (Cobrança pelo mínimo mensal) Análise Manual Expressa: 7 - Tarifa: 11,4200 - Total: R$ 79,94 (Período de apuração: 01/08/2026 à 31/08/2026) Vencimento: 28/10/2026 Brazilian Tax Information: Valor estimado dos tributos IBS e CBS, conforme disposto no art. 12 da Lei Complementar nº 214/2025 (Reforma Tributária sobre Consumo): R$1.82 (1%)</v>
          </cell>
          <cell r="V466">
            <v>263.29000000000002</v>
          </cell>
          <cell r="W466">
            <v>5.27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263.29000000000002</v>
          </cell>
          <cell r="AC466">
            <v>0</v>
          </cell>
          <cell r="AD466">
            <v>0</v>
          </cell>
          <cell r="AE466" t="str">
            <v>Sim</v>
          </cell>
        </row>
        <row r="467">
          <cell r="F467">
            <v>122646</v>
          </cell>
          <cell r="G467">
            <v>236719</v>
          </cell>
          <cell r="H467">
            <v>62422232000195</v>
          </cell>
          <cell r="I467" t="str">
            <v>ZION MOVELARIA LTDA</v>
          </cell>
          <cell r="J467" t="str">
            <v>ARTUR DE AZEVEDO</v>
          </cell>
          <cell r="K467">
            <v>0</v>
          </cell>
          <cell r="M467" t="str">
            <v>PINHEIROS</v>
          </cell>
          <cell r="N467" t="str">
            <v>SAO PAULO</v>
          </cell>
          <cell r="O467" t="str">
            <v>SP</v>
          </cell>
          <cell r="Q467">
            <v>5404013</v>
          </cell>
          <cell r="R467">
            <v>170102220</v>
          </cell>
          <cell r="S467">
            <v>2</v>
          </cell>
          <cell r="T467">
            <v>2</v>
          </cell>
          <cell r="U467" t="str">
            <v>Antifraude: 3 -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v>
          </cell>
          <cell r="V467">
            <v>222.45</v>
          </cell>
          <cell r="W467">
            <v>4.45</v>
          </cell>
          <cell r="X467">
            <v>0</v>
          </cell>
          <cell r="Y467">
            <v>1.45</v>
          </cell>
          <cell r="Z467">
            <v>6.67</v>
          </cell>
          <cell r="AA467">
            <v>2.2200000000000002</v>
          </cell>
          <cell r="AB467">
            <v>222.45</v>
          </cell>
          <cell r="AC467">
            <v>0</v>
          </cell>
          <cell r="AD467">
            <v>0</v>
          </cell>
          <cell r="AE467" t="str">
            <v>Sim</v>
          </cell>
        </row>
        <row r="468">
          <cell r="F468">
            <v>122647</v>
          </cell>
          <cell r="G468">
            <v>236734</v>
          </cell>
          <cell r="H468">
            <v>9577465000184</v>
          </cell>
          <cell r="I468" t="str">
            <v>R. C. GIOVANI COMERCIO DE MATERIAIS DE CONSTRUCAO LTDA</v>
          </cell>
          <cell r="J468" t="str">
            <v>RUA BELO HORIZONTE</v>
          </cell>
          <cell r="K468">
            <v>465</v>
          </cell>
          <cell r="M468" t="str">
            <v>CENTRO</v>
          </cell>
          <cell r="N468" t="str">
            <v>LONDRINA</v>
          </cell>
          <cell r="O468" t="str">
            <v>PR</v>
          </cell>
          <cell r="Q468">
            <v>86020060</v>
          </cell>
          <cell r="R468">
            <v>170102220</v>
          </cell>
          <cell r="S468">
            <v>2</v>
          </cell>
          <cell r="T468">
            <v>2</v>
          </cell>
          <cell r="U468" t="str">
            <v>Antifraude: 3 -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v>
          </cell>
          <cell r="V468">
            <v>183.67</v>
          </cell>
          <cell r="W468">
            <v>3.67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183.67</v>
          </cell>
          <cell r="AC468">
            <v>0</v>
          </cell>
          <cell r="AD468">
            <v>0</v>
          </cell>
          <cell r="AE468" t="str">
            <v>Sim</v>
          </cell>
        </row>
        <row r="469">
          <cell r="F469">
            <v>122648</v>
          </cell>
          <cell r="G469">
            <v>236723</v>
          </cell>
          <cell r="H469">
            <v>13594751001520</v>
          </cell>
          <cell r="I469" t="str">
            <v>NOVA GERACAO COMESTIVEIS S.A</v>
          </cell>
          <cell r="J469" t="str">
            <v>RUA BENEDITO OTONI</v>
          </cell>
          <cell r="K469">
            <v>52</v>
          </cell>
          <cell r="L469" t="str">
            <v>PARTE B</v>
          </cell>
          <cell r="M469" t="str">
            <v>SAO CRISTOVAO</v>
          </cell>
          <cell r="N469" t="str">
            <v>RIO DE JANEIRO</v>
          </cell>
          <cell r="O469" t="str">
            <v>RJ</v>
          </cell>
          <cell r="Q469">
            <v>20940180</v>
          </cell>
          <cell r="R469">
            <v>170102220</v>
          </cell>
          <cell r="S469">
            <v>2</v>
          </cell>
          <cell r="T469">
            <v>2</v>
          </cell>
          <cell r="U469" t="str">
            <v>Analista de Risco: R$ 3.771,00 Antifraude: 2297 - Total: R$ 3.670,44 (Cobrança pelo mínimo mensal) (Período de apuração: 01/08/2026 à 31/08/2026) Vencimento: 26/09/2026 Brazilian Tax Information: Valor estimado dos tributos IBS e CBS, conforme disposto no art. 12 da Lei Complementar nº 214/2025 (Reforma Tributária sobre Consumo): R$38.48 (1%)</v>
          </cell>
          <cell r="V469">
            <v>7593.31</v>
          </cell>
          <cell r="W469">
            <v>151.87</v>
          </cell>
          <cell r="X469">
            <v>113.9</v>
          </cell>
          <cell r="Y469">
            <v>49.35</v>
          </cell>
          <cell r="Z469">
            <v>227.8</v>
          </cell>
          <cell r="AA469">
            <v>75.930000000000007</v>
          </cell>
          <cell r="AB469">
            <v>7593.31</v>
          </cell>
          <cell r="AC469">
            <v>0</v>
          </cell>
          <cell r="AD469">
            <v>0</v>
          </cell>
          <cell r="AE469" t="str">
            <v>Sim</v>
          </cell>
        </row>
        <row r="470">
          <cell r="F470">
            <v>122649</v>
          </cell>
          <cell r="G470">
            <v>236725</v>
          </cell>
          <cell r="H470">
            <v>13612214000160</v>
          </cell>
          <cell r="I470" t="str">
            <v>QUANTITY SERVICOS E COMERCIO DE PRODUTOS PARA SAUDE S.A.</v>
          </cell>
          <cell r="J470" t="str">
            <v>RUA SENADOR CARLOS GOMES DE OLIVEIRA</v>
          </cell>
          <cell r="K470">
            <v>800</v>
          </cell>
          <cell r="L470" t="str">
            <v>GALPAO02 0 3 E 04</v>
          </cell>
          <cell r="M470" t="str">
            <v>DISTRITO INDUSTRIAL</v>
          </cell>
          <cell r="N470" t="str">
            <v>SAO JOSE</v>
          </cell>
          <cell r="O470" t="str">
            <v>SC</v>
          </cell>
          <cell r="Q470">
            <v>88104785</v>
          </cell>
          <cell r="R470">
            <v>170102220</v>
          </cell>
          <cell r="S470">
            <v>2</v>
          </cell>
          <cell r="T470">
            <v>2</v>
          </cell>
          <cell r="U470" t="str">
            <v>Analista de Risco: R$ 6.563,26 Antifraude: 4006 - Tarifa:  0,8901 - Total: R$ 3.565,74 Análise Manual: 221 - Tarifa: 17,2574 - Total: R$ 3.813,89 (Período de apuração: 01/08/2026 à 31/08/2026) Vencimento: 11/10/2026 Brazilian Tax Information: Valor estimado dos tributos IBS e CBS, conforme disposto no art. 12 da Lei Complementar nº 214/2025 (Reforma Tributária sobre Consumo): R$66.97 (1%)</v>
          </cell>
          <cell r="V470">
            <v>14227.43</v>
          </cell>
          <cell r="W470">
            <v>284.55</v>
          </cell>
          <cell r="X470">
            <v>213.42</v>
          </cell>
          <cell r="Y470">
            <v>92.48</v>
          </cell>
          <cell r="Z470">
            <v>426.83</v>
          </cell>
          <cell r="AA470">
            <v>142.28</v>
          </cell>
          <cell r="AB470">
            <v>14227.43</v>
          </cell>
          <cell r="AC470">
            <v>0</v>
          </cell>
          <cell r="AD470">
            <v>0</v>
          </cell>
          <cell r="AE470" t="str">
            <v>Sim</v>
          </cell>
        </row>
        <row r="471">
          <cell r="F471">
            <v>122650</v>
          </cell>
          <cell r="G471">
            <v>236768</v>
          </cell>
          <cell r="H471">
            <v>39786983000179</v>
          </cell>
          <cell r="I471" t="str">
            <v>VD COMERCIO DE VEICULOS LTDA</v>
          </cell>
          <cell r="J471" t="str">
            <v>RODOVIA GOVERNADOR MARIO COVAS</v>
          </cell>
          <cell r="K471">
            <v>13130</v>
          </cell>
          <cell r="L471" t="str">
            <v>KM 294</v>
          </cell>
          <cell r="M471" t="str">
            <v>VILA INDEPENDENCIA</v>
          </cell>
          <cell r="N471" t="str">
            <v>CARIACICA</v>
          </cell>
          <cell r="O471" t="str">
            <v>ES</v>
          </cell>
          <cell r="Q471">
            <v>29148640</v>
          </cell>
          <cell r="R471">
            <v>170102220</v>
          </cell>
          <cell r="S471">
            <v>2</v>
          </cell>
          <cell r="T471">
            <v>2</v>
          </cell>
          <cell r="U471" t="str">
            <v>Analista de Risco: R$ 4.815,63 Emailage: 232 - Tarifa:  0,4364 - Total: R$ 101,24 Serviço de Validação de Dados: 219 - Tarifa:  0,2841 - Total: R$ 62,22 Antifraude: 233 - Tarifa:  0,7346 - Total: R$ 171,16 Análise Manual Expressa: 5 - Tarifa: 13,5000 - Total: R$ 67,50 (Período de apuração: 01/08/2026 à 31/08/2026) Vencimento: 26/09/2026 Brazilian Tax Information: Valor estimado dos tributos IBS e CBS, conforme disposto no art. 12 da Lei Complementar nº 214/2025 (Reforma Tributária sobre Consumo): R$49.14 (1%)</v>
          </cell>
          <cell r="V471">
            <v>5324.24</v>
          </cell>
          <cell r="W471">
            <v>106.48</v>
          </cell>
          <cell r="X471">
            <v>79.86</v>
          </cell>
          <cell r="Y471">
            <v>34.61</v>
          </cell>
          <cell r="Z471">
            <v>159.72999999999999</v>
          </cell>
          <cell r="AA471">
            <v>53.24</v>
          </cell>
          <cell r="AB471">
            <v>5324.24</v>
          </cell>
          <cell r="AC471">
            <v>0</v>
          </cell>
          <cell r="AD471">
            <v>0</v>
          </cell>
          <cell r="AE471" t="str">
            <v>Sim</v>
          </cell>
        </row>
        <row r="472">
          <cell r="F472">
            <v>122651</v>
          </cell>
          <cell r="G472">
            <v>236771</v>
          </cell>
          <cell r="H472">
            <v>9497806000101</v>
          </cell>
          <cell r="I472" t="str">
            <v>VALTER RAMOS LTDA</v>
          </cell>
          <cell r="J472" t="str">
            <v>AVENIDA ANTONIO CARLOS PANIAGO</v>
          </cell>
          <cell r="K472">
            <v>21</v>
          </cell>
          <cell r="L472" t="str">
            <v>QUADRA07 L OJA 17</v>
          </cell>
          <cell r="M472" t="str">
            <v>CENTRO</v>
          </cell>
          <cell r="N472" t="str">
            <v>MINEIROS</v>
          </cell>
          <cell r="O472" t="str">
            <v>GO</v>
          </cell>
          <cell r="Q472">
            <v>75830002</v>
          </cell>
          <cell r="R472">
            <v>170102220</v>
          </cell>
          <cell r="S472">
            <v>2</v>
          </cell>
          <cell r="T472">
            <v>2</v>
          </cell>
          <cell r="U472" t="str">
            <v>Antifraude: 1 -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v>
          </cell>
          <cell r="V472">
            <v>505.1</v>
          </cell>
          <cell r="W472">
            <v>10.1</v>
          </cell>
          <cell r="X472">
            <v>0</v>
          </cell>
          <cell r="Y472">
            <v>3.28</v>
          </cell>
          <cell r="Z472">
            <v>15.15</v>
          </cell>
          <cell r="AA472">
            <v>5.05</v>
          </cell>
          <cell r="AB472">
            <v>505.1</v>
          </cell>
          <cell r="AC472">
            <v>0</v>
          </cell>
          <cell r="AD472">
            <v>0</v>
          </cell>
          <cell r="AE472" t="str">
            <v>Sim</v>
          </cell>
        </row>
        <row r="473">
          <cell r="F473">
            <v>122652</v>
          </cell>
          <cell r="G473">
            <v>236765</v>
          </cell>
          <cell r="H473">
            <v>9477652000196</v>
          </cell>
          <cell r="I473" t="str">
            <v>SDB COMERCIO DE ALIMENTOS LTDA</v>
          </cell>
          <cell r="J473" t="str">
            <v>RUA TABAPUA</v>
          </cell>
          <cell r="K473">
            <v>841</v>
          </cell>
          <cell r="L473" t="str">
            <v>ANDAR 6 CO NJ 601</v>
          </cell>
          <cell r="M473" t="str">
            <v>ITAIM BIBI</v>
          </cell>
          <cell r="N473" t="str">
            <v>SAO PAULO</v>
          </cell>
          <cell r="O473" t="str">
            <v>SP</v>
          </cell>
          <cell r="Q473">
            <v>4533013</v>
          </cell>
          <cell r="R473">
            <v>170102220</v>
          </cell>
          <cell r="S473">
            <v>2</v>
          </cell>
          <cell r="T473">
            <v>2</v>
          </cell>
          <cell r="U473" t="str">
            <v>Antifraude: 93 - Total: R$ 564,35 (Cobrança pelo mínimo mensal) Análise Manual Expressa: 38 - Tarifa: 9,0000 - Total: R$ 342,00 (Período de apuração: 01/08/2026 à 31/08/2026) Vencimento: 26/09/2026 Brazilian Tax Information: Valor estimado dos tributos IBS e CBS, conforme disposto no art. 12 da Lei Complementar nº 214/2025 (Reforma Tributária sobre Consumo): R$5.76 (1%)</v>
          </cell>
          <cell r="V473">
            <v>924.85</v>
          </cell>
          <cell r="W473">
            <v>18.5</v>
          </cell>
          <cell r="X473">
            <v>13.87</v>
          </cell>
          <cell r="Y473">
            <v>6.01</v>
          </cell>
          <cell r="Z473">
            <v>27.75</v>
          </cell>
          <cell r="AA473">
            <v>9.25</v>
          </cell>
          <cell r="AB473">
            <v>924.85</v>
          </cell>
          <cell r="AC473">
            <v>0</v>
          </cell>
          <cell r="AD473">
            <v>0</v>
          </cell>
          <cell r="AE473" t="str">
            <v>Sim</v>
          </cell>
        </row>
        <row r="474">
          <cell r="F474">
            <v>122653</v>
          </cell>
          <cell r="G474">
            <v>236795</v>
          </cell>
          <cell r="H474">
            <v>47639710000120</v>
          </cell>
          <cell r="I474" t="str">
            <v>WRB TURISMO LTDA</v>
          </cell>
          <cell r="J474" t="str">
            <v>RUA MARECHAL FLORIANO PEIXOTO</v>
          </cell>
          <cell r="K474">
            <v>1455</v>
          </cell>
          <cell r="L474" t="str">
            <v>SALA 01 AN DAR 1</v>
          </cell>
          <cell r="M474" t="str">
            <v>CENTRO</v>
          </cell>
          <cell r="N474" t="str">
            <v>FOZ DO IGUACU</v>
          </cell>
          <cell r="O474" t="str">
            <v>PR</v>
          </cell>
          <cell r="Q474">
            <v>85851020</v>
          </cell>
          <cell r="R474">
            <v>170102220</v>
          </cell>
          <cell r="S474">
            <v>2</v>
          </cell>
          <cell r="T474">
            <v>2</v>
          </cell>
          <cell r="U474" t="str">
            <v>Antifraude: 84 - Total: R$ 92,00 (Cobrança pelo mínimo mensal) (Período de apuração: 01/08/2026 à 31/08/2026) Vencimento: 26/09/2026 Brazilian Tax Information: Valor estimado dos tributos IBS e CBS, conforme disposto no art. 12 da Lei Complementar nº 214/2025 (Reforma Tributária sobre Consumo): R$0.94 (1%)</v>
          </cell>
          <cell r="V474">
            <v>93.88</v>
          </cell>
          <cell r="W474">
            <v>1.88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93.88</v>
          </cell>
          <cell r="AC474">
            <v>0</v>
          </cell>
          <cell r="AD474">
            <v>0</v>
          </cell>
          <cell r="AE474" t="str">
            <v>Sim</v>
          </cell>
        </row>
        <row r="475">
          <cell r="F475">
            <v>122654</v>
          </cell>
          <cell r="G475">
            <v>236789</v>
          </cell>
          <cell r="H475">
            <v>15348666000374</v>
          </cell>
          <cell r="I475" t="str">
            <v>SANEAR BRASIL PRODUTOS E SERVICOS LTDA</v>
          </cell>
          <cell r="J475" t="str">
            <v>RUA TRANSBRASIL</v>
          </cell>
          <cell r="K475">
            <v>300</v>
          </cell>
          <cell r="L475" t="str">
            <v>GALPAOA</v>
          </cell>
          <cell r="M475" t="str">
            <v>DISTRITO INDUSTRIAL JARDIM PIEMONT NORTE</v>
          </cell>
          <cell r="N475" t="str">
            <v>BETIM</v>
          </cell>
          <cell r="O475" t="str">
            <v>MG</v>
          </cell>
          <cell r="Q475">
            <v>32689302</v>
          </cell>
          <cell r="R475">
            <v>170102220</v>
          </cell>
          <cell r="S475">
            <v>2</v>
          </cell>
          <cell r="T475">
            <v>2</v>
          </cell>
          <cell r="U475" t="str">
            <v>Antifraude: 267 - Tarifa:  0,8744 - Total: R$ 233,46 (Período de apuração: 01/08/2026 à 31/08/2026) Vencimento: 26/09/2026 Brazilian Tax Information: Valor estimado dos tributos IBS e CBS, conforme disposto no art. 12 da Lei Complementar nº 214/2025 (Reforma Tributária sobre Consumo): R$2.38 (1%)</v>
          </cell>
          <cell r="V475">
            <v>238.22</v>
          </cell>
          <cell r="W475">
            <v>4.76</v>
          </cell>
          <cell r="X475">
            <v>0</v>
          </cell>
          <cell r="Y475">
            <v>1.55</v>
          </cell>
          <cell r="Z475">
            <v>7.15</v>
          </cell>
          <cell r="AA475">
            <v>2.38</v>
          </cell>
          <cell r="AB475">
            <v>238.22</v>
          </cell>
          <cell r="AC475">
            <v>0</v>
          </cell>
          <cell r="AD475">
            <v>0</v>
          </cell>
          <cell r="AE475" t="str">
            <v>Sim</v>
          </cell>
        </row>
        <row r="476">
          <cell r="F476">
            <v>122655</v>
          </cell>
          <cell r="G476">
            <v>236775</v>
          </cell>
          <cell r="H476">
            <v>5851801000184</v>
          </cell>
          <cell r="I476" t="str">
            <v>TERRA PARQUE ECO RESORT LTDA</v>
          </cell>
          <cell r="J476" t="str">
            <v>VEREADOR MANOEL FAUSTINO DE VASCONCELOS</v>
          </cell>
          <cell r="K476">
            <v>0</v>
          </cell>
          <cell r="M476" t="str">
            <v>NOITE NEGRA</v>
          </cell>
          <cell r="N476" t="str">
            <v>PIRAPOZINHO</v>
          </cell>
          <cell r="O476" t="str">
            <v>SP</v>
          </cell>
          <cell r="Q476">
            <v>19200000</v>
          </cell>
          <cell r="R476">
            <v>170102220</v>
          </cell>
          <cell r="S476">
            <v>2</v>
          </cell>
          <cell r="T476">
            <v>2</v>
          </cell>
          <cell r="U476" t="str">
            <v>Antifraude: 366 - Total: R$ 2.400,00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R$24.49 (1%)</v>
          </cell>
          <cell r="V476">
            <v>2448.98</v>
          </cell>
          <cell r="W476">
            <v>48.98</v>
          </cell>
          <cell r="X476">
            <v>36.729999999999997</v>
          </cell>
          <cell r="Y476">
            <v>15.92</v>
          </cell>
          <cell r="Z476">
            <v>73.47</v>
          </cell>
          <cell r="AA476">
            <v>24.49</v>
          </cell>
          <cell r="AB476">
            <v>2448.98</v>
          </cell>
          <cell r="AC476">
            <v>0</v>
          </cell>
          <cell r="AD476">
            <v>0</v>
          </cell>
          <cell r="AE476" t="str">
            <v>Sim</v>
          </cell>
        </row>
        <row r="477">
          <cell r="F477">
            <v>122656</v>
          </cell>
          <cell r="G477">
            <v>236783</v>
          </cell>
          <cell r="H477">
            <v>13432810000169</v>
          </cell>
          <cell r="I477" t="str">
            <v>TRANSAMERICA DE HOTEIS NORDESTE LTDA</v>
          </cell>
          <cell r="J477" t="str">
            <v>LOC  ILHA DE COMANDATUBA</v>
          </cell>
          <cell r="K477" t="str">
            <v>S/N</v>
          </cell>
          <cell r="M477" t="str">
            <v>Centro</v>
          </cell>
          <cell r="N477" t="str">
            <v>UNA</v>
          </cell>
          <cell r="O477" t="str">
            <v>BA</v>
          </cell>
          <cell r="Q477">
            <v>45690000</v>
          </cell>
          <cell r="R477">
            <v>170102220</v>
          </cell>
          <cell r="S477">
            <v>2</v>
          </cell>
          <cell r="T477">
            <v>2</v>
          </cell>
          <cell r="U477" t="str">
            <v>Analista de Risco: R$ 4.195,87 Antifraude: 260 - Tarifa:  0,7588 - Total: R$ 197,29 Análise Manual Expressa: 21 - Tarifa: 11,7000 - Total: R$ 245,70 (Período de apuração: 01/08/2026 à 31/08/2026) Vencimento: 26/09/2026 Brazilian Tax Information: Valor estimado dos tributos IBS e CBS, conforme disposto no art. 12 da Lei Complementar nº 214/2025 (Reforma Tributária sobre Consumo): R$42.82 (1%)</v>
          </cell>
          <cell r="V477">
            <v>4733.53</v>
          </cell>
          <cell r="W477">
            <v>94.67</v>
          </cell>
          <cell r="X477">
            <v>71</v>
          </cell>
          <cell r="Y477">
            <v>30.77</v>
          </cell>
          <cell r="Z477">
            <v>142.01</v>
          </cell>
          <cell r="AA477">
            <v>47.34</v>
          </cell>
          <cell r="AB477">
            <v>4733.53</v>
          </cell>
          <cell r="AC477">
            <v>0</v>
          </cell>
          <cell r="AD477">
            <v>0</v>
          </cell>
          <cell r="AE477" t="str">
            <v>Sim</v>
          </cell>
        </row>
        <row r="478">
          <cell r="F478">
            <v>122657</v>
          </cell>
          <cell r="G478">
            <v>236782</v>
          </cell>
          <cell r="H478">
            <v>4641062000133</v>
          </cell>
          <cell r="I478" t="str">
            <v>PEREIRA E SILVA ATACADISTA DE BELOHORIZONTE LTDA</v>
          </cell>
          <cell r="J478" t="str">
            <v>AVENIDA PRESIDENTE JUSCELINO KUBITSCHEK</v>
          </cell>
          <cell r="K478">
            <v>7535</v>
          </cell>
          <cell r="M478" t="str">
            <v>CAMARGOS</v>
          </cell>
          <cell r="N478" t="str">
            <v>BELO HORIZONTE</v>
          </cell>
          <cell r="O478" t="str">
            <v>MG</v>
          </cell>
          <cell r="Q478">
            <v>30535550</v>
          </cell>
          <cell r="R478">
            <v>170102220</v>
          </cell>
          <cell r="S478">
            <v>2</v>
          </cell>
          <cell r="T478">
            <v>2</v>
          </cell>
          <cell r="U478" t="str">
            <v>Antifraude: 16 - Total: R$ 713,30 (Cobrança pelo mínimo mensal) Análise Manual Expressa: 2 - Tarifa: 9,9800 - Total: R$ 19,96 (Período de apuração: 01/08/2026 à 31/08/2026) Vencimento: 26/09/2026 Brazilian Tax Information: Valor estimado dos tributos IBS e CBS, conforme disposto no art. 12 da Lei Complementar nº 214/2025 (Reforma Tributária sobre Consumo): R$7.28 (1%)</v>
          </cell>
          <cell r="V478">
            <v>748.23</v>
          </cell>
          <cell r="W478">
            <v>14.96</v>
          </cell>
          <cell r="X478">
            <v>11.23</v>
          </cell>
          <cell r="Y478">
            <v>4.8600000000000003</v>
          </cell>
          <cell r="Z478">
            <v>22.45</v>
          </cell>
          <cell r="AA478">
            <v>7.48</v>
          </cell>
          <cell r="AB478">
            <v>748.23</v>
          </cell>
          <cell r="AC478">
            <v>0</v>
          </cell>
          <cell r="AD478">
            <v>0</v>
          </cell>
          <cell r="AE478" t="str">
            <v>Sim</v>
          </cell>
        </row>
        <row r="479">
          <cell r="F479">
            <v>122658</v>
          </cell>
          <cell r="G479">
            <v>236808</v>
          </cell>
          <cell r="H479">
            <v>3640467000194</v>
          </cell>
          <cell r="I479" t="str">
            <v>SUPERMERCADOS JAU SERVE LTDA</v>
          </cell>
          <cell r="J479" t="str">
            <v>AVENIDA JOAO SANZOVO</v>
          </cell>
          <cell r="K479">
            <v>1401</v>
          </cell>
          <cell r="M479" t="str">
            <v>DISTRITO INDUSTRIAL</v>
          </cell>
          <cell r="N479" t="str">
            <v>JAU</v>
          </cell>
          <cell r="O479" t="str">
            <v>SP</v>
          </cell>
          <cell r="Q479">
            <v>17206220</v>
          </cell>
          <cell r="R479">
            <v>170102220</v>
          </cell>
          <cell r="S479">
            <v>2</v>
          </cell>
          <cell r="T479">
            <v>2</v>
          </cell>
          <cell r="U479" t="str">
            <v>Analista de Risco: R$ 3.804,80 Emailage: 2201 - Tarifa:  0,5248 - Total: R$ 1.155,08 Antifraude: 2793 - Total: R$ 5.905,73 (Cobrança pelo mínimo mensal) (Período de apuração: 01/08/2026 à 31/08/2026) Vencimento: 26/09/2026 Brazilian Tax Information: Valor estimado dos tributos IBS e CBS, conforme disposto no art. 12 da Lei Complementar nº 214/2025 (Reforma Tributária sobre Consumo): R$38.82 (1%)</v>
          </cell>
          <cell r="V479">
            <v>11087.36</v>
          </cell>
          <cell r="W479">
            <v>221.75</v>
          </cell>
          <cell r="X479">
            <v>166.31</v>
          </cell>
          <cell r="Y479">
            <v>72.069999999999993</v>
          </cell>
          <cell r="Z479">
            <v>332.62</v>
          </cell>
          <cell r="AA479">
            <v>110.87</v>
          </cell>
          <cell r="AB479">
            <v>11087.36</v>
          </cell>
          <cell r="AC479">
            <v>0</v>
          </cell>
          <cell r="AD479">
            <v>0</v>
          </cell>
          <cell r="AE479" t="str">
            <v>Sim</v>
          </cell>
        </row>
        <row r="480">
          <cell r="F480">
            <v>122659</v>
          </cell>
          <cell r="G480">
            <v>236817</v>
          </cell>
          <cell r="H480">
            <v>26443804000310</v>
          </cell>
          <cell r="I480" t="str">
            <v>SR ACABAMENTOS E MATERIAIS PARA CONSTRUCAO LTDA</v>
          </cell>
          <cell r="J480" t="str">
            <v>SETOR SMAS AREA ESPECIAL G</v>
          </cell>
          <cell r="K480" t="str">
            <v>S/N</v>
          </cell>
          <cell r="L480" t="str">
            <v>CONJ B LOT E 08 09 E</v>
          </cell>
          <cell r="M480" t="str">
            <v>ZONA INDUSTRIAL (GUARA)</v>
          </cell>
          <cell r="N480" t="str">
            <v>BRASILIA</v>
          </cell>
          <cell r="O480" t="str">
            <v>DF</v>
          </cell>
          <cell r="Q480">
            <v>71215300</v>
          </cell>
          <cell r="R480">
            <v>170102220</v>
          </cell>
          <cell r="S480">
            <v>2</v>
          </cell>
          <cell r="T480">
            <v>2</v>
          </cell>
          <cell r="U480" t="str">
            <v>Antifraude: 241 - Tarifa:  0,7010 - Total: R$ 168,94 (Período de apuração: 01/08/2026 à 31/08/2026) Vencimento: 26/09/2026 Brazilian Tax Information: Valor estimado dos tributos IBS e CBS, conforme disposto no art. 12 da Lei Complementar nº 214/2025 (Reforma Tributária sobre Consumo): R$1.72 (1%)</v>
          </cell>
          <cell r="V480">
            <v>172.39</v>
          </cell>
          <cell r="W480">
            <v>3.45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172.39</v>
          </cell>
          <cell r="AC480">
            <v>0</v>
          </cell>
          <cell r="AD480">
            <v>0</v>
          </cell>
          <cell r="AE480" t="str">
            <v>Sim</v>
          </cell>
        </row>
        <row r="481">
          <cell r="F481">
            <v>122660</v>
          </cell>
          <cell r="G481">
            <v>236819</v>
          </cell>
          <cell r="H481">
            <v>6159920000133</v>
          </cell>
          <cell r="I481" t="str">
            <v>VISTACOR INDUSTRIA E COMERCIO DO VESTUARIO LTDA</v>
          </cell>
          <cell r="J481" t="str">
            <v>RUA JOAQUIM ZUCCO</v>
          </cell>
          <cell r="K481">
            <v>380</v>
          </cell>
          <cell r="M481" t="str">
            <v>NOVA BRASILIA</v>
          </cell>
          <cell r="N481" t="str">
            <v>BRUSQUE</v>
          </cell>
          <cell r="O481" t="str">
            <v>SC</v>
          </cell>
          <cell r="Q481">
            <v>88352195</v>
          </cell>
          <cell r="R481">
            <v>170102220</v>
          </cell>
          <cell r="S481">
            <v>2</v>
          </cell>
          <cell r="T481">
            <v>2</v>
          </cell>
          <cell r="U481" t="str">
            <v>Antifraude: 1226 - Tarifa:  1,1001 - Total: R$ 1.348,72 Análise Manual Expressa: 189 - Tarifa: 13,2300 - Total: R$ 2.500,47 (Período de apuração: 01/08/2026 à 31/08/2026) Vencimento: 26/09/2026 Brazilian Tax Information: Valor estimado dos tributos IBS e CBS, conforme disposto no art. 12 da Lei Complementar nº 214/2025 (Reforma Tributária sobre Consumo): R$13.76 (1%)</v>
          </cell>
          <cell r="V481">
            <v>3927.75</v>
          </cell>
          <cell r="W481">
            <v>78.56</v>
          </cell>
          <cell r="X481">
            <v>58.91</v>
          </cell>
          <cell r="Y481">
            <v>25.53</v>
          </cell>
          <cell r="Z481">
            <v>117.84</v>
          </cell>
          <cell r="AA481">
            <v>39.28</v>
          </cell>
          <cell r="AB481">
            <v>3927.75</v>
          </cell>
          <cell r="AC481">
            <v>0</v>
          </cell>
          <cell r="AD481">
            <v>0</v>
          </cell>
          <cell r="AE481" t="str">
            <v>Sim</v>
          </cell>
        </row>
        <row r="482">
          <cell r="F482">
            <v>122661</v>
          </cell>
          <cell r="G482">
            <v>236815</v>
          </cell>
          <cell r="H482">
            <v>60403110000126</v>
          </cell>
          <cell r="I482" t="str">
            <v>NICOM COMERCIO DE MATERIAIS PARA CONSTRUCOES LTDA</v>
          </cell>
          <cell r="J482" t="str">
            <v>RUA ATICA</v>
          </cell>
          <cell r="K482">
            <v>42</v>
          </cell>
          <cell r="M482" t="str">
            <v>BROOKLIN PAULISTA</v>
          </cell>
          <cell r="N482" t="str">
            <v>SAO PAULO</v>
          </cell>
          <cell r="O482" t="str">
            <v>SP</v>
          </cell>
          <cell r="Q482">
            <v>4634040</v>
          </cell>
          <cell r="R482">
            <v>170102220</v>
          </cell>
          <cell r="S482">
            <v>2</v>
          </cell>
          <cell r="T482">
            <v>2</v>
          </cell>
          <cell r="U482" t="str">
            <v>Antifraude: 50 - Total: R$ 203,70 (Cobrança pelo mínimo mensal) Análise Manual Expressa: 3 - Tarifa: 11,9900 - Total: R$ 35,97 (Período de apuração: 01/08/2026 à 31/08/2026) Vencimento: 26/09/2026 Brazilian Tax Information: Valor estimado dos tributos IBS e CBS, conforme disposto no art. 12 da Lei Complementar nº 214/2025 (Reforma Tributária sobre Consumo): R$2.08 (1%)</v>
          </cell>
          <cell r="V482">
            <v>244.56</v>
          </cell>
          <cell r="W482">
            <v>4.8899999999999997</v>
          </cell>
          <cell r="X482">
            <v>0</v>
          </cell>
          <cell r="Y482">
            <v>1.59</v>
          </cell>
          <cell r="Z482">
            <v>7.34</v>
          </cell>
          <cell r="AA482">
            <v>2.4500000000000002</v>
          </cell>
          <cell r="AB482">
            <v>244.56</v>
          </cell>
          <cell r="AC482">
            <v>0</v>
          </cell>
          <cell r="AD482">
            <v>0</v>
          </cell>
          <cell r="AE482" t="str">
            <v>Sim</v>
          </cell>
        </row>
        <row r="483">
          <cell r="F483">
            <v>122662</v>
          </cell>
          <cell r="G483">
            <v>236847</v>
          </cell>
          <cell r="H483">
            <v>3816413000137</v>
          </cell>
          <cell r="I483" t="str">
            <v>PAGUEVELOZ INSTITUICAO DE PAGAMENTO LTDA</v>
          </cell>
          <cell r="J483" t="str">
            <v>RUA ALMIRANTE TAMANDARE</v>
          </cell>
          <cell r="K483">
            <v>1024</v>
          </cell>
          <cell r="L483" t="str">
            <v>SALA MEZAN INO</v>
          </cell>
          <cell r="M483" t="str">
            <v>VILA NOVA</v>
          </cell>
          <cell r="N483" t="str">
            <v>BLUMENAU</v>
          </cell>
          <cell r="O483" t="str">
            <v>SC</v>
          </cell>
          <cell r="Q483">
            <v>89035000</v>
          </cell>
          <cell r="R483">
            <v>170102220</v>
          </cell>
          <cell r="S483">
            <v>2</v>
          </cell>
          <cell r="T483">
            <v>2</v>
          </cell>
          <cell r="U483" t="str">
            <v>Analista de Risco: R$ 14.677,02 Antifraude: 24232 - Total: R$ 10.712,30 (Cobrança pelo mínimo mensal) Serviço de Validação de Dados: 23347 - Tarifa:  0,1921 - Total: R$ 4.484,96 #PO 97873921 (Período de apuração: 01/08/2026 à 31/08/2026) Vencimento: 10/11/2026 Brazilian Tax Information: Valor estimado dos tributos IBS e CBS, conforme disposto no art. 12 da Lei Complementar nº 214/2025 (Reforma Tributária sobre Consumo): R$149.77 (1%)</v>
          </cell>
          <cell r="V483">
            <v>30483.96</v>
          </cell>
          <cell r="W483">
            <v>609.67999999999995</v>
          </cell>
          <cell r="X483">
            <v>457.26</v>
          </cell>
          <cell r="Y483">
            <v>198.15</v>
          </cell>
          <cell r="Z483">
            <v>914.52</v>
          </cell>
          <cell r="AA483">
            <v>304.83999999999997</v>
          </cell>
          <cell r="AB483">
            <v>30483.96</v>
          </cell>
          <cell r="AC483">
            <v>0</v>
          </cell>
          <cell r="AD483">
            <v>0</v>
          </cell>
          <cell r="AE483" t="str">
            <v>Sim</v>
          </cell>
        </row>
        <row r="484">
          <cell r="F484">
            <v>122663</v>
          </cell>
          <cell r="G484">
            <v>236838</v>
          </cell>
          <cell r="H484">
            <v>2633346000152</v>
          </cell>
          <cell r="I484" t="str">
            <v>PALLAS OPERADORA TURISTICA LTDA</v>
          </cell>
          <cell r="J484" t="str">
            <v>AVENIDA DAS AMERICAS</v>
          </cell>
          <cell r="K484">
            <v>3434</v>
          </cell>
          <cell r="L484" t="str">
            <v>BLOCO 5 SA LA 514 AT</v>
          </cell>
          <cell r="M484" t="str">
            <v>BARRA DA TIJUCA</v>
          </cell>
          <cell r="N484" t="str">
            <v>RIO DE JANEIRO</v>
          </cell>
          <cell r="O484" t="str">
            <v>RJ</v>
          </cell>
          <cell r="Q484">
            <v>22640102</v>
          </cell>
          <cell r="R484">
            <v>170102220</v>
          </cell>
          <cell r="S484">
            <v>2</v>
          </cell>
          <cell r="T484">
            <v>2</v>
          </cell>
          <cell r="U484" t="str">
            <v>Antifraude: 3 - Total: R$ 131,66 (Cobrança pelo mínimo mensal) Análise Manual Expressa: 1 - Tarifa: 13,0100 - Total: R$ 13,01 (Período de apuração: 01/08/2026 à 31/08/2026) Vencimento: 26/09/2026 Brazilian Tax Information: Valor estimado dos tributos IBS e CBS, conforme disposto no art. 12 da Lei Complementar nº 214/2025 (Reforma Tributária sobre Consumo): R$1.34 (1%)</v>
          </cell>
          <cell r="V484">
            <v>147.63</v>
          </cell>
          <cell r="W484">
            <v>2.95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147.63</v>
          </cell>
          <cell r="AC484">
            <v>0</v>
          </cell>
          <cell r="AD484">
            <v>0</v>
          </cell>
          <cell r="AE484" t="str">
            <v>Sim</v>
          </cell>
        </row>
        <row r="485">
          <cell r="F485">
            <v>122664</v>
          </cell>
          <cell r="G485">
            <v>236839</v>
          </cell>
          <cell r="H485">
            <v>61565222000146</v>
          </cell>
          <cell r="I485" t="str">
            <v>PARAMOUNT TEXTEIS INDUSTRIA E COMERCIO SA</v>
          </cell>
          <cell r="J485" t="str">
            <v>AVENIDA EUSEBIO MATOSO</v>
          </cell>
          <cell r="K485">
            <v>1375</v>
          </cell>
          <cell r="L485" t="str">
            <v>ANDAR ANDA R 3 CJ. 3</v>
          </cell>
          <cell r="M485" t="str">
            <v>PINHEIROS</v>
          </cell>
          <cell r="N485" t="str">
            <v>SAO PAULO</v>
          </cell>
          <cell r="O485" t="str">
            <v>SP</v>
          </cell>
          <cell r="Q485">
            <v>5423905</v>
          </cell>
          <cell r="R485">
            <v>170102220</v>
          </cell>
          <cell r="S485">
            <v>2</v>
          </cell>
          <cell r="T485">
            <v>2</v>
          </cell>
          <cell r="U485" t="str">
            <v>Antifraude: 59 -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v>
          </cell>
          <cell r="V485">
            <v>195.67</v>
          </cell>
          <cell r="W485">
            <v>3.91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195.67</v>
          </cell>
          <cell r="AC485">
            <v>0</v>
          </cell>
          <cell r="AD485">
            <v>0</v>
          </cell>
          <cell r="AE485" t="str">
            <v>Sim</v>
          </cell>
        </row>
        <row r="486">
          <cell r="F486">
            <v>122665</v>
          </cell>
          <cell r="G486">
            <v>236830</v>
          </cell>
          <cell r="H486">
            <v>21051079000150</v>
          </cell>
          <cell r="I486" t="str">
            <v>PARIS STORE PERFUMARIA LTDA</v>
          </cell>
          <cell r="J486" t="str">
            <v>ESTRADA DE ITAPECERICA</v>
          </cell>
          <cell r="K486">
            <v>4031</v>
          </cell>
          <cell r="M486" t="str">
            <v>VILA MARACANA</v>
          </cell>
          <cell r="N486" t="str">
            <v>SAO PAULO</v>
          </cell>
          <cell r="O486" t="str">
            <v>SP</v>
          </cell>
          <cell r="Q486">
            <v>5835005</v>
          </cell>
          <cell r="R486">
            <v>170102220</v>
          </cell>
          <cell r="S486">
            <v>2</v>
          </cell>
          <cell r="T486">
            <v>2</v>
          </cell>
          <cell r="U486" t="str">
            <v>Antifraude: 64 - Total: R$ 292,64 (Cobrança pelo mínimo mensal) (Período de apuração: 01/08/2026 à 31/08/2026) Vencimento: 26/09/2026 Brazilian Tax Information: Valor estimado dos tributos IBS e CBS, conforme disposto no art. 12 da Lei Complementar nº 214/2025 (Reforma Tributária sobre Consumo): R$2.99 (1%)</v>
          </cell>
          <cell r="V486">
            <v>298.61</v>
          </cell>
          <cell r="W486">
            <v>5.97</v>
          </cell>
          <cell r="X486">
            <v>0</v>
          </cell>
          <cell r="Y486">
            <v>1.94</v>
          </cell>
          <cell r="Z486">
            <v>8.9600000000000009</v>
          </cell>
          <cell r="AA486">
            <v>2.99</v>
          </cell>
          <cell r="AB486">
            <v>298.61</v>
          </cell>
          <cell r="AC486">
            <v>0</v>
          </cell>
          <cell r="AD486">
            <v>0</v>
          </cell>
          <cell r="AE486" t="str">
            <v>Sim</v>
          </cell>
        </row>
        <row r="487">
          <cell r="F487">
            <v>122666</v>
          </cell>
          <cell r="G487">
            <v>236824</v>
          </cell>
          <cell r="H487">
            <v>27626290000806</v>
          </cell>
          <cell r="I487" t="str">
            <v>PARS PRODUTOS DE PROCESSAMENTO DE DADOS LTDA</v>
          </cell>
          <cell r="J487" t="str">
            <v>RUA DA CONCEICAO</v>
          </cell>
          <cell r="K487">
            <v>125</v>
          </cell>
          <cell r="L487" t="str">
            <v>SALA 810 E 811</v>
          </cell>
          <cell r="M487" t="str">
            <v>CENTRO</v>
          </cell>
          <cell r="N487" t="str">
            <v>NITEROI</v>
          </cell>
          <cell r="O487" t="str">
            <v>RJ</v>
          </cell>
          <cell r="Q487">
            <v>24020085</v>
          </cell>
          <cell r="R487">
            <v>170102220</v>
          </cell>
          <cell r="S487">
            <v>2</v>
          </cell>
          <cell r="T487">
            <v>2</v>
          </cell>
          <cell r="U487" t="str">
            <v>Antifraude: 2 -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487">
            <v>202.04</v>
          </cell>
          <cell r="W487">
            <v>4.04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202.04</v>
          </cell>
          <cell r="AC487">
            <v>0</v>
          </cell>
          <cell r="AD487">
            <v>0</v>
          </cell>
          <cell r="AE487" t="str">
            <v>Sim</v>
          </cell>
        </row>
        <row r="488">
          <cell r="F488">
            <v>122667</v>
          </cell>
          <cell r="G488">
            <v>236834</v>
          </cell>
          <cell r="H488">
            <v>8390881000106</v>
          </cell>
          <cell r="I488" t="str">
            <v>PERIMETRAL COMERCIO DE ACESSORIOS PARA MOTOCICLETAS LTDA.</v>
          </cell>
          <cell r="J488" t="str">
            <v>PRACA DR. ADHEMAR DE BARROS</v>
          </cell>
          <cell r="K488">
            <v>68</v>
          </cell>
          <cell r="M488" t="str">
            <v>CASA BRANCA</v>
          </cell>
          <cell r="N488" t="str">
            <v>SANTO ANDRE</v>
          </cell>
          <cell r="O488" t="str">
            <v>SP</v>
          </cell>
          <cell r="Q488">
            <v>9020020</v>
          </cell>
          <cell r="R488">
            <v>170102220</v>
          </cell>
          <cell r="S488">
            <v>2</v>
          </cell>
          <cell r="T488">
            <v>2</v>
          </cell>
          <cell r="U488" t="str">
            <v>Emailage: 227 - Tarifa:  0,4565 - Total: R$ 103,63 Antifraude: 227 - Total: R$ 1.470,16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R$1.06 (1%)</v>
          </cell>
          <cell r="V488">
            <v>1667.07</v>
          </cell>
          <cell r="W488">
            <v>33.340000000000003</v>
          </cell>
          <cell r="X488">
            <v>25.01</v>
          </cell>
          <cell r="Y488">
            <v>10.84</v>
          </cell>
          <cell r="Z488">
            <v>50.01</v>
          </cell>
          <cell r="AA488">
            <v>16.670000000000002</v>
          </cell>
          <cell r="AB488">
            <v>1667.07</v>
          </cell>
          <cell r="AC488">
            <v>0</v>
          </cell>
          <cell r="AD488">
            <v>0</v>
          </cell>
          <cell r="AE488" t="str">
            <v>Sim</v>
          </cell>
        </row>
        <row r="489">
          <cell r="F489">
            <v>122668</v>
          </cell>
          <cell r="G489">
            <v>236841</v>
          </cell>
          <cell r="H489">
            <v>26183032000163</v>
          </cell>
          <cell r="I489" t="str">
            <v>PAYSCOUT BRASIL MEIOS DE PAGAMENTOS LTDA</v>
          </cell>
          <cell r="J489" t="str">
            <v>RUA OLIMPIADAS</v>
          </cell>
          <cell r="K489">
            <v>205</v>
          </cell>
          <cell r="L489" t="str">
            <v>ANDAR 4 SA LA 418</v>
          </cell>
          <cell r="M489" t="str">
            <v>VILA OLIMPIA</v>
          </cell>
          <cell r="N489" t="str">
            <v>SAO PAULO</v>
          </cell>
          <cell r="O489" t="str">
            <v>SP</v>
          </cell>
          <cell r="Q489">
            <v>4551000</v>
          </cell>
          <cell r="R489">
            <v>170102220</v>
          </cell>
          <cell r="S489">
            <v>2</v>
          </cell>
          <cell r="T489">
            <v>2</v>
          </cell>
          <cell r="U489" t="str">
            <v>Analista de Risco: R$ 4.632,48 Serviço de Validação de Dados: 550 - Tarifa:  0,4190 - Total: R$ 230,45 Antifraude: 583 - Total: R$ 772,08 (Cobrança pelo mínimo mensal) (Período de apuração: 01/08/2026 à 31/08/2026) Vencimento: 26/09/2026 Brazilian Tax Information: Valor estimado dos tributos IBS e CBS, conforme disposto no art. 12 da Lei Complementar nº 214/2025 (Reforma Tributária sobre Consumo): R$47.27 (1%)</v>
          </cell>
          <cell r="V489">
            <v>5750.01</v>
          </cell>
          <cell r="W489">
            <v>115</v>
          </cell>
          <cell r="X489">
            <v>86.26</v>
          </cell>
          <cell r="Y489">
            <v>37.380000000000003</v>
          </cell>
          <cell r="Z489">
            <v>172.5</v>
          </cell>
          <cell r="AA489">
            <v>57.5</v>
          </cell>
          <cell r="AB489">
            <v>5750.01</v>
          </cell>
          <cell r="AC489">
            <v>0</v>
          </cell>
          <cell r="AD489">
            <v>0</v>
          </cell>
          <cell r="AE489" t="str">
            <v>Sim</v>
          </cell>
        </row>
        <row r="490">
          <cell r="F490">
            <v>122669</v>
          </cell>
          <cell r="G490">
            <v>236843</v>
          </cell>
          <cell r="H490">
            <v>53977021000128</v>
          </cell>
          <cell r="I490" t="str">
            <v>PHB ELETRONICA LTDA</v>
          </cell>
          <cell r="J490" t="str">
            <v>RUA S BERNARDINO</v>
          </cell>
          <cell r="K490">
            <v>12</v>
          </cell>
          <cell r="L490" t="str">
            <v>QUADRA5</v>
          </cell>
          <cell r="M490" t="str">
            <v>PARQUE ANHANGUERA</v>
          </cell>
          <cell r="N490" t="str">
            <v>SAO PAULO</v>
          </cell>
          <cell r="O490" t="str">
            <v>SP</v>
          </cell>
          <cell r="Q490">
            <v>5120050</v>
          </cell>
          <cell r="R490">
            <v>170102220</v>
          </cell>
          <cell r="S490">
            <v>2</v>
          </cell>
          <cell r="T490">
            <v>2</v>
          </cell>
          <cell r="U490" t="str">
            <v>Analista de Risco: R$ 4.261,40 Antifraude: 322 - Tarifa:  0,8092 - Total: R$ 260,56 (Período de apuração: 01/08/2026 à 31/08/2026) Vencimento: 26/09/2026 Brazilian Tax Information: Valor estimado dos tributos IBS e CBS, conforme disposto no art. 12 da Lei Complementar nº 214/2025 (Reforma Tributária sobre Consumo): R$43.48 (1%)</v>
          </cell>
          <cell r="V490">
            <v>4614.25</v>
          </cell>
          <cell r="W490">
            <v>92.29</v>
          </cell>
          <cell r="X490">
            <v>69.22</v>
          </cell>
          <cell r="Y490">
            <v>29.99</v>
          </cell>
          <cell r="Z490">
            <v>138.43</v>
          </cell>
          <cell r="AA490">
            <v>46.14</v>
          </cell>
          <cell r="AB490">
            <v>4614.25</v>
          </cell>
          <cell r="AC490">
            <v>0</v>
          </cell>
          <cell r="AD490">
            <v>0</v>
          </cell>
          <cell r="AE490" t="str">
            <v>Sim</v>
          </cell>
        </row>
        <row r="491">
          <cell r="F491">
            <v>122670</v>
          </cell>
          <cell r="G491">
            <v>236845</v>
          </cell>
          <cell r="H491">
            <v>32868002000355</v>
          </cell>
          <cell r="I491" t="str">
            <v>PISOLAR COMERCIO DE TINTAS LTDA</v>
          </cell>
          <cell r="J491" t="str">
            <v>AVENIDA ETELVINO ALVES DE LIMA</v>
          </cell>
          <cell r="K491">
            <v>1294</v>
          </cell>
          <cell r="L491" t="str">
            <v>GALPAO04 0 5 E 06 CD</v>
          </cell>
          <cell r="M491" t="str">
            <v>INACIO BARBOSA</v>
          </cell>
          <cell r="N491" t="str">
            <v>ARACAJU</v>
          </cell>
          <cell r="O491" t="str">
            <v>SE</v>
          </cell>
          <cell r="Q491">
            <v>49040700</v>
          </cell>
          <cell r="R491">
            <v>170102220</v>
          </cell>
          <cell r="S491">
            <v>2</v>
          </cell>
          <cell r="T491">
            <v>2</v>
          </cell>
          <cell r="U491" t="str">
            <v>Analista de Risco: R$ 3.500,00 Emailage: 66 - Tarifa:  0,9900 - Total: R$ 65,34 Antifraude: 66 - Total: R$ 282,00 (Cobrança pelo mínimo mensal) Análise Manual Expressa: 8 - Tarifa: 11,9900 - Total: R$ 95,92 (Período de apuração: 01/08/2026 à 31/08/2026) Vencimento: 26/09/2026 Brazilian Tax Information: Valor estimado dos tributos IBS e CBS, conforme disposto no art. 12 da Lei Complementar nº 214/2025 (Reforma Tributária sobre Consumo): R$35.71 (1%)</v>
          </cell>
          <cell r="V491">
            <v>4023.74</v>
          </cell>
          <cell r="W491">
            <v>80.47</v>
          </cell>
          <cell r="X491">
            <v>60.36</v>
          </cell>
          <cell r="Y491">
            <v>26.15</v>
          </cell>
          <cell r="Z491">
            <v>120.71</v>
          </cell>
          <cell r="AA491">
            <v>40.24</v>
          </cell>
          <cell r="AB491">
            <v>4023.74</v>
          </cell>
          <cell r="AC491">
            <v>0</v>
          </cell>
          <cell r="AD491">
            <v>0</v>
          </cell>
          <cell r="AE491" t="str">
            <v>Sim</v>
          </cell>
        </row>
        <row r="492">
          <cell r="F492">
            <v>122671</v>
          </cell>
          <cell r="G492">
            <v>236831</v>
          </cell>
          <cell r="H492">
            <v>9262527000169</v>
          </cell>
          <cell r="I492" t="str">
            <v>PLANTEC DISTRIBUIDORA DE PRODUTOS DE TELECOMUNICACOES E INFO</v>
          </cell>
          <cell r="J492" t="str">
            <v>RUA JACIRENDI</v>
          </cell>
          <cell r="K492">
            <v>282</v>
          </cell>
          <cell r="M492" t="str">
            <v>TATUAPE</v>
          </cell>
          <cell r="N492" t="str">
            <v>SAO PAULO</v>
          </cell>
          <cell r="O492" t="str">
            <v>SP</v>
          </cell>
          <cell r="Q492">
            <v>3080000</v>
          </cell>
          <cell r="R492">
            <v>170102220</v>
          </cell>
          <cell r="S492">
            <v>2</v>
          </cell>
          <cell r="T492">
            <v>2</v>
          </cell>
          <cell r="U492" t="str">
            <v>Antifraude: 94 -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v>
          </cell>
          <cell r="V492">
            <v>183.67</v>
          </cell>
          <cell r="W492">
            <v>3.67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183.67</v>
          </cell>
          <cell r="AC492">
            <v>0</v>
          </cell>
          <cell r="AD492">
            <v>0</v>
          </cell>
          <cell r="AE492" t="str">
            <v>Sim</v>
          </cell>
        </row>
        <row r="493">
          <cell r="F493">
            <v>122672</v>
          </cell>
          <cell r="G493">
            <v>236848</v>
          </cell>
          <cell r="H493">
            <v>22763502001774</v>
          </cell>
          <cell r="I493" t="str">
            <v>PMZ DISTRIBUIDORA S.A</v>
          </cell>
          <cell r="J493" t="str">
            <v>RUA PALMEIRA DO MIRITI</v>
          </cell>
          <cell r="K493">
            <v>375</v>
          </cell>
          <cell r="M493" t="str">
            <v>GILBERTO MESTRINHO</v>
          </cell>
          <cell r="N493" t="str">
            <v>MANAUS</v>
          </cell>
          <cell r="O493" t="str">
            <v>AM</v>
          </cell>
          <cell r="Q493">
            <v>69006373</v>
          </cell>
          <cell r="R493">
            <v>170102220</v>
          </cell>
          <cell r="S493">
            <v>2</v>
          </cell>
          <cell r="T493">
            <v>2</v>
          </cell>
          <cell r="U493" t="str">
            <v>Analista de Risco: R$ 4.429,21 Antifraude: 610 - Tarifa:  0,6316 - Total: R$ 385,28 Análise Manual Expressa: 10 - Tarifa: 13,7200 - Total: R$ 137,20 (Período de apuração: 01/08/2026 à 31/08/2026) Vencimento: 26/09/2026 Brazilian Tax Information: Valor estimado dos tributos IBS e CBS, conforme disposto no art. 12 da Lei Complementar nº 214/2025 (Reforma Tributária sobre Consumo): R$45.20 (1%)</v>
          </cell>
          <cell r="V493">
            <v>5052.74</v>
          </cell>
          <cell r="W493">
            <v>101.05</v>
          </cell>
          <cell r="X493">
            <v>75.790000000000006</v>
          </cell>
          <cell r="Y493">
            <v>32.85</v>
          </cell>
          <cell r="Z493">
            <v>151.58000000000001</v>
          </cell>
          <cell r="AA493">
            <v>50.53</v>
          </cell>
          <cell r="AB493">
            <v>5052.74</v>
          </cell>
          <cell r="AC493">
            <v>0</v>
          </cell>
          <cell r="AD493">
            <v>0</v>
          </cell>
          <cell r="AE493" t="str">
            <v>Sim</v>
          </cell>
        </row>
        <row r="494">
          <cell r="F494">
            <v>122673</v>
          </cell>
          <cell r="G494">
            <v>236829</v>
          </cell>
          <cell r="H494">
            <v>8678386000105</v>
          </cell>
          <cell r="I494" t="str">
            <v>PNEUBRAS COMERCIO DE PNEUS LTDA</v>
          </cell>
          <cell r="J494" t="str">
            <v>RODOVIA BR 101  SUL</v>
          </cell>
          <cell r="K494" t="str">
            <v>.</v>
          </cell>
          <cell r="L494" t="str">
            <v>KM 82 7</v>
          </cell>
          <cell r="M494" t="str">
            <v>PRAZERES</v>
          </cell>
          <cell r="N494" t="str">
            <v>JABOATAO DOS GUARARAPES</v>
          </cell>
          <cell r="O494" t="str">
            <v>PE</v>
          </cell>
          <cell r="Q494">
            <v>54335000</v>
          </cell>
          <cell r="R494">
            <v>170102220</v>
          </cell>
          <cell r="S494">
            <v>2</v>
          </cell>
          <cell r="T494">
            <v>2</v>
          </cell>
          <cell r="U494" t="str">
            <v>Antifraude: 207 - Total: R$ 300,41 (Cobrança pelo mínimo mensal) Análise Manual Expressa: 116 - Tarifa: 10,2900 - Total: R$ 1.193,64 (Período de apuração: 01/08/2026 à 31/08/2026) Vencimento: 10/10/2026 Brazilian Tax Information: Valor estimado dos tributos IBS e CBS, conforme disposto no art. 12 da Lei Complementar nº 214/2025 (Reforma Tributária sobre Consumo): R$3.07 (1%)</v>
          </cell>
          <cell r="V494">
            <v>1524.54</v>
          </cell>
          <cell r="W494">
            <v>30.49</v>
          </cell>
          <cell r="X494">
            <v>22.87</v>
          </cell>
          <cell r="Y494">
            <v>9.91</v>
          </cell>
          <cell r="Z494">
            <v>45.74</v>
          </cell>
          <cell r="AA494">
            <v>15.25</v>
          </cell>
          <cell r="AB494">
            <v>1524.54</v>
          </cell>
          <cell r="AC494">
            <v>0</v>
          </cell>
          <cell r="AD494">
            <v>0</v>
          </cell>
          <cell r="AE494" t="str">
            <v>Sim</v>
          </cell>
        </row>
        <row r="495">
          <cell r="F495">
            <v>122674</v>
          </cell>
          <cell r="G495">
            <v>236836</v>
          </cell>
          <cell r="H495">
            <v>338915000101</v>
          </cell>
          <cell r="I495" t="str">
            <v>PAULISTA PRAIA HOTEL S/A</v>
          </cell>
          <cell r="J495" t="str">
            <v>RUA BARAO DE SOUZA LEAO</v>
          </cell>
          <cell r="K495">
            <v>451</v>
          </cell>
          <cell r="L495" t="str">
            <v>SALA 701</v>
          </cell>
          <cell r="M495" t="str">
            <v>BOA VIAGEM</v>
          </cell>
          <cell r="N495" t="str">
            <v>RECIFE</v>
          </cell>
          <cell r="O495" t="str">
            <v>PE</v>
          </cell>
          <cell r="Q495">
            <v>51030300</v>
          </cell>
          <cell r="R495">
            <v>170102220</v>
          </cell>
          <cell r="S495">
            <v>2</v>
          </cell>
          <cell r="T495">
            <v>2</v>
          </cell>
          <cell r="U495" t="str">
            <v>Analista de Risco: R$ 4.874,62 Antifraude: 311 - Tarifa:  0,6692 - Total: R$ 208,12 (Período de apuração: 01/08/2026 à 31/08/2026) Vencimento: 26/09/2026 Brazilian Tax Information: Valor estimado dos tributos IBS e CBS, conforme disposto no art. 12 da Lei Complementar nº 214/2025 (Reforma Tributária sobre Consumo): R$49.74 (1%)</v>
          </cell>
          <cell r="V495">
            <v>5186.47</v>
          </cell>
          <cell r="W495">
            <v>103.73</v>
          </cell>
          <cell r="X495">
            <v>77.8</v>
          </cell>
          <cell r="Y495">
            <v>33.71</v>
          </cell>
          <cell r="Z495">
            <v>155.59</v>
          </cell>
          <cell r="AA495">
            <v>51.86</v>
          </cell>
          <cell r="AB495">
            <v>5186.47</v>
          </cell>
          <cell r="AC495">
            <v>0</v>
          </cell>
          <cell r="AD495">
            <v>0</v>
          </cell>
          <cell r="AE495" t="str">
            <v>Sim</v>
          </cell>
        </row>
        <row r="496">
          <cell r="F496">
            <v>122675</v>
          </cell>
          <cell r="G496">
            <v>236846</v>
          </cell>
          <cell r="H496">
            <v>8071439000117</v>
          </cell>
          <cell r="I496" t="str">
            <v>POUSADA PORTO MARE LTDA</v>
          </cell>
          <cell r="J496" t="str">
            <v>RUA SEBASTIAO ROMAO CEZAR</v>
          </cell>
          <cell r="K496">
            <v>350</v>
          </cell>
          <cell r="M496" t="str">
            <v>MARESIAS</v>
          </cell>
          <cell r="N496" t="str">
            <v>SAO SEBASTIAO</v>
          </cell>
          <cell r="O496" t="str">
            <v>SP</v>
          </cell>
          <cell r="Q496">
            <v>11628228</v>
          </cell>
          <cell r="R496">
            <v>170102220</v>
          </cell>
          <cell r="S496">
            <v>2</v>
          </cell>
          <cell r="T496">
            <v>2</v>
          </cell>
          <cell r="U496" t="str">
            <v>Emailage: 6 - Tarifa:  0,8500 - Total: R$ 5,10 Antifraude: 6 -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496">
            <v>197.04</v>
          </cell>
          <cell r="W496">
            <v>3.94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197.04</v>
          </cell>
          <cell r="AC496">
            <v>0</v>
          </cell>
          <cell r="AD496">
            <v>0</v>
          </cell>
          <cell r="AE496" t="str">
            <v>Sim</v>
          </cell>
        </row>
        <row r="497">
          <cell r="F497">
            <v>122676</v>
          </cell>
          <cell r="G497">
            <v>236844</v>
          </cell>
          <cell r="H497">
            <v>7687928002189</v>
          </cell>
          <cell r="I497" t="str">
            <v>WISH S.A.</v>
          </cell>
          <cell r="J497" t="str">
            <v>PRACA SENADOR SALGADO FILHO</v>
          </cell>
          <cell r="K497" t="str">
            <v>S/N</v>
          </cell>
          <cell r="L497" t="str">
            <v>: SITIO AE ROPORTUAR</v>
          </cell>
          <cell r="M497" t="str">
            <v>CENTRO</v>
          </cell>
          <cell r="N497" t="str">
            <v>RIO DE JANEIRO</v>
          </cell>
          <cell r="O497" t="str">
            <v>RJ</v>
          </cell>
          <cell r="Q497">
            <v>20021340</v>
          </cell>
          <cell r="R497">
            <v>170102220</v>
          </cell>
          <cell r="S497">
            <v>2</v>
          </cell>
          <cell r="T497">
            <v>2</v>
          </cell>
          <cell r="U497" t="str">
            <v>Antifraude: 70 - Total: R$ 712,19 (Cobrança pelo mínimo mensal) Análise Manual: 30 - Tarifa: 9,1121 - Total: R$ 273,36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497">
            <v>1005.66</v>
          </cell>
          <cell r="W497">
            <v>20.11</v>
          </cell>
          <cell r="X497">
            <v>15.08</v>
          </cell>
          <cell r="Y497">
            <v>6.53</v>
          </cell>
          <cell r="Z497">
            <v>30.17</v>
          </cell>
          <cell r="AA497">
            <v>10.06</v>
          </cell>
          <cell r="AB497">
            <v>1005.66</v>
          </cell>
          <cell r="AC497">
            <v>0</v>
          </cell>
          <cell r="AD497">
            <v>0</v>
          </cell>
          <cell r="AE497" t="str">
            <v>Sim</v>
          </cell>
        </row>
        <row r="498">
          <cell r="F498">
            <v>122677</v>
          </cell>
          <cell r="G498">
            <v>236833</v>
          </cell>
          <cell r="H498">
            <v>40335413000141</v>
          </cell>
          <cell r="I498" t="str">
            <v>PROMEX MAIS COMERCIO, IMPORTACAO EEXPORTACAO LTDA</v>
          </cell>
          <cell r="J498" t="str">
            <v>RODOVIA DARLY SANTOS</v>
          </cell>
          <cell r="K498">
            <v>4000</v>
          </cell>
          <cell r="L498" t="str">
            <v>GALPAO02 G ALPAO03 A</v>
          </cell>
          <cell r="M498" t="str">
            <v>DARLY SANTOS</v>
          </cell>
          <cell r="N498" t="str">
            <v>VILA VELHA</v>
          </cell>
          <cell r="O498" t="str">
            <v>ES</v>
          </cell>
          <cell r="Q498">
            <v>29103300</v>
          </cell>
          <cell r="R498">
            <v>170102220</v>
          </cell>
          <cell r="S498">
            <v>2</v>
          </cell>
          <cell r="T498">
            <v>2</v>
          </cell>
          <cell r="U498" t="str">
            <v>Antifraude: 196 - Total: R$ 347,31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v>
          </cell>
          <cell r="V498">
            <v>354.4</v>
          </cell>
          <cell r="W498">
            <v>7.09</v>
          </cell>
          <cell r="X498">
            <v>0</v>
          </cell>
          <cell r="Y498">
            <v>2.2999999999999998</v>
          </cell>
          <cell r="Z498">
            <v>10.63</v>
          </cell>
          <cell r="AA498">
            <v>3.54</v>
          </cell>
          <cell r="AB498">
            <v>354.4</v>
          </cell>
          <cell r="AC498">
            <v>0</v>
          </cell>
          <cell r="AD498">
            <v>0</v>
          </cell>
          <cell r="AE498" t="str">
            <v>Sim</v>
          </cell>
        </row>
        <row r="499">
          <cell r="F499">
            <v>122678</v>
          </cell>
          <cell r="G499">
            <v>236825</v>
          </cell>
          <cell r="H499">
            <v>3817469000106</v>
          </cell>
          <cell r="I499" t="str">
            <v>TOYAMA DO BRASIL MAQUINAS LTDA.</v>
          </cell>
          <cell r="J499" t="str">
            <v>AVENIDA JUSCELINO KUBITSCHEK DE OLIVEIRA</v>
          </cell>
          <cell r="K499">
            <v>3003</v>
          </cell>
          <cell r="M499" t="str">
            <v>CIDADE INDUSTRIAL</v>
          </cell>
          <cell r="N499" t="str">
            <v>CURITIBA</v>
          </cell>
          <cell r="O499" t="str">
            <v>PR</v>
          </cell>
          <cell r="Q499">
            <v>81270200</v>
          </cell>
          <cell r="R499">
            <v>170102220</v>
          </cell>
          <cell r="S499">
            <v>2</v>
          </cell>
          <cell r="T499">
            <v>2</v>
          </cell>
          <cell r="U499" t="str">
            <v>Antifraude: 12 -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v>
          </cell>
          <cell r="V499">
            <v>191.84</v>
          </cell>
          <cell r="W499">
            <v>3.84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191.84</v>
          </cell>
          <cell r="AC499">
            <v>0</v>
          </cell>
          <cell r="AD499">
            <v>0</v>
          </cell>
          <cell r="AE499" t="str">
            <v>Sim</v>
          </cell>
        </row>
        <row r="500">
          <cell r="F500">
            <v>122679</v>
          </cell>
          <cell r="G500">
            <v>236837</v>
          </cell>
          <cell r="H500">
            <v>67903765000102</v>
          </cell>
          <cell r="I500" t="str">
            <v>RICAMBI TRATORPECAS LTDA.</v>
          </cell>
          <cell r="J500" t="str">
            <v>AVENIDA BARUEL</v>
          </cell>
          <cell r="K500">
            <v>477</v>
          </cell>
          <cell r="M500" t="str">
            <v>VILA BARUEL</v>
          </cell>
          <cell r="N500" t="str">
            <v>SAO PAULO</v>
          </cell>
          <cell r="O500" t="str">
            <v>SP</v>
          </cell>
          <cell r="Q500">
            <v>2522000</v>
          </cell>
          <cell r="R500">
            <v>170102220</v>
          </cell>
          <cell r="S500">
            <v>2</v>
          </cell>
          <cell r="T500">
            <v>2</v>
          </cell>
          <cell r="U500" t="str">
            <v>Antifraude: 7 - Total: R$ 495,00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R$5.05 (1%)</v>
          </cell>
          <cell r="V500">
            <v>566.27</v>
          </cell>
          <cell r="W500">
            <v>11.33</v>
          </cell>
          <cell r="X500">
            <v>0</v>
          </cell>
          <cell r="Y500">
            <v>3.68</v>
          </cell>
          <cell r="Z500">
            <v>16.989999999999998</v>
          </cell>
          <cell r="AA500">
            <v>5.66</v>
          </cell>
          <cell r="AB500">
            <v>566.27</v>
          </cell>
          <cell r="AC500">
            <v>0</v>
          </cell>
          <cell r="AD500">
            <v>0</v>
          </cell>
          <cell r="AE500" t="str">
            <v>Sim</v>
          </cell>
        </row>
        <row r="501">
          <cell r="F501">
            <v>122680</v>
          </cell>
          <cell r="G501">
            <v>236832</v>
          </cell>
          <cell r="H501">
            <v>8412136000110</v>
          </cell>
          <cell r="I501" t="str">
            <v>RIO DE PEDRAS HOTEL LTDA</v>
          </cell>
          <cell r="J501" t="str">
            <v>RUA DOS JEQUITIBAS</v>
          </cell>
          <cell r="K501">
            <v>120</v>
          </cell>
          <cell r="M501" t="str">
            <v>CLUBE NAUTICO ACURUI</v>
          </cell>
          <cell r="N501" t="str">
            <v>ITABIRITO</v>
          </cell>
          <cell r="O501" t="str">
            <v>MG</v>
          </cell>
          <cell r="Q501">
            <v>35458000</v>
          </cell>
          <cell r="R501">
            <v>170102220</v>
          </cell>
          <cell r="S501">
            <v>2</v>
          </cell>
          <cell r="T501">
            <v>2</v>
          </cell>
          <cell r="U501" t="str">
            <v>Antifraude: 351 - Total: R$ 449,46 (Cobrança pelo mínimo mensal) (Período de apuração: 01/08/2026 à 31/08/2026) Vencimento: 26/09/2026 Brazilian Tax Information: Valor estimado dos tributos IBS e CBS, conforme disposto no art. 12 da Lei Complementar nº 214/2025 (Reforma Tributária sobre Consumo): R$4.59 (1%)</v>
          </cell>
          <cell r="V501">
            <v>458.63</v>
          </cell>
          <cell r="W501">
            <v>9.17</v>
          </cell>
          <cell r="X501">
            <v>0</v>
          </cell>
          <cell r="Y501">
            <v>2.98</v>
          </cell>
          <cell r="Z501">
            <v>13.76</v>
          </cell>
          <cell r="AA501">
            <v>4.59</v>
          </cell>
          <cell r="AB501">
            <v>458.63</v>
          </cell>
          <cell r="AC501">
            <v>0</v>
          </cell>
          <cell r="AD501">
            <v>0</v>
          </cell>
          <cell r="AE501" t="str">
            <v>Sim</v>
          </cell>
        </row>
        <row r="502">
          <cell r="F502">
            <v>122681</v>
          </cell>
          <cell r="G502">
            <v>236863</v>
          </cell>
          <cell r="H502">
            <v>97512966000301</v>
          </cell>
          <cell r="I502" t="str">
            <v>SCHEER CHURRASQUEIRAS E ACESSORIOSLTDA</v>
          </cell>
          <cell r="J502" t="str">
            <v>RUA EUZEBIO BELTRAO DE QUEIROZ</v>
          </cell>
          <cell r="K502">
            <v>2061</v>
          </cell>
          <cell r="M502" t="str">
            <v>PIO X</v>
          </cell>
          <cell r="N502" t="str">
            <v>CAXIAS DO SUL</v>
          </cell>
          <cell r="O502" t="str">
            <v>RS</v>
          </cell>
          <cell r="Q502">
            <v>95034330</v>
          </cell>
          <cell r="R502">
            <v>170102220</v>
          </cell>
          <cell r="S502">
            <v>2</v>
          </cell>
          <cell r="T502">
            <v>2</v>
          </cell>
          <cell r="U502" t="str">
            <v>Antifraude: 6 - Total: R$ 201,96 (Cobrança pelo mínimo mensal) (Período de apuração: 01/08/2026 à 31/08/2026) Vencimento: 11/10/2026 Brazilian Tax Information: Valor estimado dos tributos IBS e CBS, conforme disposto no art. 12 da Lei Complementar nº 214/2025 (Reforma Tributária sobre Consumo): R$2.06 (1%)</v>
          </cell>
          <cell r="V502">
            <v>206.08</v>
          </cell>
          <cell r="W502">
            <v>4.12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206.08</v>
          </cell>
          <cell r="AC502">
            <v>0</v>
          </cell>
          <cell r="AD502">
            <v>0</v>
          </cell>
          <cell r="AE502" t="str">
            <v>Sim</v>
          </cell>
        </row>
        <row r="503">
          <cell r="F503">
            <v>122682</v>
          </cell>
          <cell r="G503">
            <v>236868</v>
          </cell>
          <cell r="H503">
            <v>2995233000105</v>
          </cell>
          <cell r="I503" t="str">
            <v>TELECOMUNICACOES NORDESTE LTDA</v>
          </cell>
          <cell r="J503" t="str">
            <v>AVENIDA COLARES MOREIRA</v>
          </cell>
          <cell r="K503">
            <v>1005</v>
          </cell>
          <cell r="M503" t="str">
            <v>SAO FRANCISCO</v>
          </cell>
          <cell r="N503" t="str">
            <v>SAO LUIS</v>
          </cell>
          <cell r="O503" t="str">
            <v>MA</v>
          </cell>
          <cell r="Q503">
            <v>65075440</v>
          </cell>
          <cell r="R503">
            <v>170102220</v>
          </cell>
          <cell r="S503">
            <v>2</v>
          </cell>
          <cell r="T503">
            <v>2</v>
          </cell>
          <cell r="U503" t="str">
            <v>Antifraude: 455 - Total: R$ 1.560,00 (Cobrança pelo mínimo mensal) Análise Manual Expressa: 28 - Tarifa: 11,9900 - Total: R$ 335,72 (Período de apuração: 01/08/2026 à 31/08/2026) Vencimento: 11/10/2026 Brazilian Tax Information: Valor estimado dos tributos IBS e CBS, conforme disposto no art. 12 da Lei Complementar nº 214/2025 (Reforma Tributária sobre Consumo): R$15.92 (1%)</v>
          </cell>
          <cell r="V503">
            <v>1934.41</v>
          </cell>
          <cell r="W503">
            <v>38.69</v>
          </cell>
          <cell r="X503">
            <v>29.02</v>
          </cell>
          <cell r="Y503">
            <v>12.58</v>
          </cell>
          <cell r="Z503">
            <v>58.04</v>
          </cell>
          <cell r="AA503">
            <v>19.350000000000001</v>
          </cell>
          <cell r="AB503">
            <v>1934.41</v>
          </cell>
          <cell r="AC503">
            <v>0</v>
          </cell>
          <cell r="AD503">
            <v>0</v>
          </cell>
          <cell r="AE503" t="str">
            <v>Sim</v>
          </cell>
        </row>
        <row r="504">
          <cell r="F504">
            <v>122683</v>
          </cell>
          <cell r="G504">
            <v>236872</v>
          </cell>
          <cell r="H504">
            <v>79565180000290</v>
          </cell>
          <cell r="I504" t="str">
            <v>SAN JUAN HOTEIS E EMPREENDIMENTOS L</v>
          </cell>
          <cell r="J504" t="str">
            <v>DAS CATARATAS</v>
          </cell>
          <cell r="K504">
            <v>0</v>
          </cell>
          <cell r="M504" t="str">
            <v>CATARATAS</v>
          </cell>
          <cell r="N504" t="str">
            <v>FOZ DO IGUACU</v>
          </cell>
          <cell r="O504" t="str">
            <v>PR</v>
          </cell>
          <cell r="Q504">
            <v>85853883</v>
          </cell>
          <cell r="R504">
            <v>170102220</v>
          </cell>
          <cell r="S504">
            <v>2</v>
          </cell>
          <cell r="T504">
            <v>2</v>
          </cell>
          <cell r="U504" t="str">
            <v>Antifraude: 52 - Total: R$ 282,00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R$2.88 (1%)</v>
          </cell>
          <cell r="V504">
            <v>4368.37</v>
          </cell>
          <cell r="W504">
            <v>87.37</v>
          </cell>
          <cell r="X504">
            <v>65.53</v>
          </cell>
          <cell r="Y504">
            <v>28.39</v>
          </cell>
          <cell r="Z504">
            <v>131.05000000000001</v>
          </cell>
          <cell r="AA504">
            <v>43.69</v>
          </cell>
          <cell r="AB504">
            <v>4368.37</v>
          </cell>
          <cell r="AC504">
            <v>0</v>
          </cell>
          <cell r="AD504">
            <v>0</v>
          </cell>
          <cell r="AE504" t="str">
            <v>Sim</v>
          </cell>
        </row>
        <row r="505">
          <cell r="F505">
            <v>122684</v>
          </cell>
          <cell r="G505">
            <v>236873</v>
          </cell>
          <cell r="H505">
            <v>58368104000133</v>
          </cell>
          <cell r="I505" t="str">
            <v>SOLAR GARDEN COMERCIO E IMPORTACOES LTDA</v>
          </cell>
          <cell r="J505" t="str">
            <v>RUA MANOEL BENICIO</v>
          </cell>
          <cell r="K505">
            <v>1553</v>
          </cell>
          <cell r="L505" t="str">
            <v>CASA A</v>
          </cell>
          <cell r="M505" t="str">
            <v>SANTO ANTONIO</v>
          </cell>
          <cell r="N505" t="str">
            <v>MOSSORO</v>
          </cell>
          <cell r="O505" t="str">
            <v>RN</v>
          </cell>
          <cell r="Q505">
            <v>59611080</v>
          </cell>
          <cell r="R505">
            <v>170102220</v>
          </cell>
          <cell r="S505">
            <v>2</v>
          </cell>
          <cell r="T505">
            <v>2</v>
          </cell>
          <cell r="U505" t="str">
            <v>Antifraude: 39 -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505">
            <v>202.04</v>
          </cell>
          <cell r="W505">
            <v>4.04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202.04</v>
          </cell>
          <cell r="AC505">
            <v>0</v>
          </cell>
          <cell r="AD505">
            <v>0</v>
          </cell>
          <cell r="AE505" t="str">
            <v>Sim</v>
          </cell>
        </row>
        <row r="506">
          <cell r="F506">
            <v>122685</v>
          </cell>
          <cell r="G506">
            <v>236862</v>
          </cell>
          <cell r="H506">
            <v>33093629000182</v>
          </cell>
          <cell r="I506" t="str">
            <v>SOL E FLORA LTDA</v>
          </cell>
          <cell r="J506" t="str">
            <v>RUA PAULO BARROS DE GOES</v>
          </cell>
          <cell r="K506">
            <v>1840</v>
          </cell>
          <cell r="L506" t="str">
            <v>LOJA 04 CO ND COND E</v>
          </cell>
          <cell r="M506" t="str">
            <v>LAGOA NOVA</v>
          </cell>
          <cell r="N506" t="str">
            <v>NATAL</v>
          </cell>
          <cell r="O506" t="str">
            <v>RN</v>
          </cell>
          <cell r="Q506">
            <v>59064460</v>
          </cell>
          <cell r="R506">
            <v>170102220</v>
          </cell>
          <cell r="S506">
            <v>2</v>
          </cell>
          <cell r="T506">
            <v>2</v>
          </cell>
          <cell r="U506" t="str">
            <v>Antifraude: 10 - Total: R$ 915,10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R$9.34 (1%)</v>
          </cell>
          <cell r="V506">
            <v>982.72</v>
          </cell>
          <cell r="W506">
            <v>19.649999999999999</v>
          </cell>
          <cell r="X506">
            <v>14.74</v>
          </cell>
          <cell r="Y506">
            <v>6.39</v>
          </cell>
          <cell r="Z506">
            <v>29.48</v>
          </cell>
          <cell r="AA506">
            <v>9.83</v>
          </cell>
          <cell r="AB506">
            <v>982.72</v>
          </cell>
          <cell r="AC506">
            <v>0</v>
          </cell>
          <cell r="AD506">
            <v>0</v>
          </cell>
          <cell r="AE506" t="str">
            <v>Sim</v>
          </cell>
        </row>
        <row r="507">
          <cell r="F507">
            <v>122686</v>
          </cell>
          <cell r="G507">
            <v>236866</v>
          </cell>
          <cell r="H507">
            <v>42473501000135</v>
          </cell>
          <cell r="I507" t="str">
            <v>SONHO DO ARTESAO DE CAMPO GRANDE LTDA</v>
          </cell>
          <cell r="J507" t="str">
            <v>RUA AUGUSTO DE VASCONCELOS</v>
          </cell>
          <cell r="K507">
            <v>90</v>
          </cell>
          <cell r="M507" t="str">
            <v>CAMPO GRANDE</v>
          </cell>
          <cell r="N507" t="str">
            <v>RIO DE JANEIRO</v>
          </cell>
          <cell r="O507" t="str">
            <v>RJ</v>
          </cell>
          <cell r="Q507">
            <v>23050340</v>
          </cell>
          <cell r="R507">
            <v>170102220</v>
          </cell>
          <cell r="S507">
            <v>2</v>
          </cell>
          <cell r="T507">
            <v>2</v>
          </cell>
          <cell r="U507" t="str">
            <v>Antifraude: 8 -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R$12.24 (1%)</v>
          </cell>
          <cell r="V507">
            <v>1224.49</v>
          </cell>
          <cell r="W507">
            <v>24.49</v>
          </cell>
          <cell r="X507">
            <v>18.37</v>
          </cell>
          <cell r="Y507">
            <v>7.96</v>
          </cell>
          <cell r="Z507">
            <v>36.729999999999997</v>
          </cell>
          <cell r="AA507">
            <v>12.24</v>
          </cell>
          <cell r="AB507">
            <v>1224.49</v>
          </cell>
          <cell r="AC507">
            <v>0</v>
          </cell>
          <cell r="AD507">
            <v>0</v>
          </cell>
          <cell r="AE507" t="str">
            <v>Sim</v>
          </cell>
        </row>
        <row r="508">
          <cell r="F508">
            <v>122687</v>
          </cell>
          <cell r="G508">
            <v>236865</v>
          </cell>
          <cell r="H508">
            <v>71385637000191</v>
          </cell>
          <cell r="I508" t="str">
            <v>SUPERMERCADO SUPER LUNA S.A</v>
          </cell>
          <cell r="J508" t="str">
            <v>RUA AMIM FARES DEBIAN</v>
          </cell>
          <cell r="K508">
            <v>301</v>
          </cell>
          <cell r="M508" t="str">
            <v>CENTRO</v>
          </cell>
          <cell r="N508" t="str">
            <v>BETIM</v>
          </cell>
          <cell r="O508" t="str">
            <v>MG</v>
          </cell>
          <cell r="Q508">
            <v>32600014</v>
          </cell>
          <cell r="R508">
            <v>170102220</v>
          </cell>
          <cell r="S508">
            <v>2</v>
          </cell>
          <cell r="T508">
            <v>2</v>
          </cell>
          <cell r="U508" t="str">
            <v>Antifraude: 134 - Total: R$ 303,38 (Cobrança pelo mínimo mensal) (Período de apuração: 01/08/2026 à 31/08/2026) Vencimento: 26/09/2026 Brazilian Tax Information: Valor estimado dos tributos IBS e CBS, conforme disposto no art. 12 da Lei Complementar nº 214/2025 (Reforma Tributária sobre Consumo): R$3.10 (1%)</v>
          </cell>
          <cell r="V508">
            <v>309.57</v>
          </cell>
          <cell r="W508">
            <v>6.19</v>
          </cell>
          <cell r="X508">
            <v>0</v>
          </cell>
          <cell r="Y508">
            <v>2.0099999999999998</v>
          </cell>
          <cell r="Z508">
            <v>9.2899999999999991</v>
          </cell>
          <cell r="AA508">
            <v>3.1</v>
          </cell>
          <cell r="AB508">
            <v>309.57</v>
          </cell>
          <cell r="AC508">
            <v>0</v>
          </cell>
          <cell r="AD508">
            <v>0</v>
          </cell>
          <cell r="AE508" t="str">
            <v>Sim</v>
          </cell>
        </row>
        <row r="509">
          <cell r="F509">
            <v>122688</v>
          </cell>
          <cell r="G509">
            <v>236853</v>
          </cell>
          <cell r="H509">
            <v>17359233000188</v>
          </cell>
          <cell r="I509" t="str">
            <v>TECIDOS E ARMARINHOS MIGUEL BARTOLOMEU S/A</v>
          </cell>
          <cell r="J509" t="str">
            <v>VIA MUNICIPAL MANOEL JACINTO COELHO JR</v>
          </cell>
          <cell r="K509" t="str">
            <v>S/N</v>
          </cell>
          <cell r="M509" t="str">
            <v>TAPERA</v>
          </cell>
          <cell r="N509" t="str">
            <v>CONTAGEM</v>
          </cell>
          <cell r="O509" t="str">
            <v>MG</v>
          </cell>
          <cell r="Q509">
            <v>32060514</v>
          </cell>
          <cell r="R509">
            <v>170102220</v>
          </cell>
          <cell r="S509">
            <v>2</v>
          </cell>
          <cell r="T509">
            <v>2</v>
          </cell>
          <cell r="U509" t="str">
            <v>Analista de Risco: R$ 3.830,26 Emailage: 13 - Tarifa:  0,5900 - Total: R$ 7,67 Antifraude: 831 - Total: R$ 450,20 (Cobrança pelo mínimo mensal) Serviço de Validação de Dados: 7 - Tarifa:  0,4800 - Total: R$ 3,36 (Período de apuração: 01/08/2026 à 31/08/2026) Vencimento: 26/09/2026 Brazilian Tax Information: Valor estimado dos tributos IBS e CBS, conforme disposto no art. 12 da Lei Complementar nº 214/2025 (Reforma Tributária sobre Consumo): R$39.08 (1%)</v>
          </cell>
          <cell r="V509">
            <v>4379.08</v>
          </cell>
          <cell r="W509">
            <v>87.58</v>
          </cell>
          <cell r="X509">
            <v>65.69</v>
          </cell>
          <cell r="Y509">
            <v>28.46</v>
          </cell>
          <cell r="Z509">
            <v>131.36000000000001</v>
          </cell>
          <cell r="AA509">
            <v>43.78</v>
          </cell>
          <cell r="AB509">
            <v>4379.08</v>
          </cell>
          <cell r="AC509">
            <v>0</v>
          </cell>
          <cell r="AD509">
            <v>0</v>
          </cell>
          <cell r="AE509" t="str">
            <v>Sim</v>
          </cell>
        </row>
        <row r="510">
          <cell r="F510">
            <v>122689</v>
          </cell>
          <cell r="G510">
            <v>236874</v>
          </cell>
          <cell r="H510">
            <v>14799060000120</v>
          </cell>
          <cell r="I510" t="str">
            <v>TAYAYA ADMINISTRACAO E PARTICIPACOES LTDA</v>
          </cell>
          <cell r="J510" t="str">
            <v>RODOVIA LZ 412, KM 04</v>
          </cell>
          <cell r="K510" t="str">
            <v>S/N</v>
          </cell>
          <cell r="M510" t="str">
            <v>LARANJAL</v>
          </cell>
          <cell r="N510" t="str">
            <v>RIBEIRAO CLARO</v>
          </cell>
          <cell r="O510" t="str">
            <v>PR</v>
          </cell>
          <cell r="Q510">
            <v>86410000</v>
          </cell>
          <cell r="R510">
            <v>170102220</v>
          </cell>
          <cell r="S510">
            <v>2</v>
          </cell>
          <cell r="T510">
            <v>2</v>
          </cell>
          <cell r="U510" t="str">
            <v>Antifraude: 15 - Total: R$ 246,28 (Cobrança pelo mínimo mensal) Análise Manual Expressa: 5 - Tarifa: 14,8000 - Total: R$ 74,00 (Período de apuração: 01/08/2026 à 31/08/2026) Vencimento: 08/10/2026 Brazilian Tax Information: Valor estimado dos tributos IBS e CBS, conforme disposto no art. 12 da Lei Complementar nº 214/2025 (Reforma Tributária sobre Consumo): R$2.51 (1%)</v>
          </cell>
          <cell r="V510">
            <v>326.82</v>
          </cell>
          <cell r="W510">
            <v>6.54</v>
          </cell>
          <cell r="X510">
            <v>0</v>
          </cell>
          <cell r="Y510">
            <v>2.12</v>
          </cell>
          <cell r="Z510">
            <v>9.81</v>
          </cell>
          <cell r="AA510">
            <v>3.27</v>
          </cell>
          <cell r="AB510">
            <v>326.82</v>
          </cell>
          <cell r="AC510">
            <v>0</v>
          </cell>
          <cell r="AD510">
            <v>0</v>
          </cell>
          <cell r="AE510" t="str">
            <v>Sim</v>
          </cell>
        </row>
        <row r="511">
          <cell r="F511">
            <v>122690</v>
          </cell>
          <cell r="G511">
            <v>236871</v>
          </cell>
          <cell r="H511">
            <v>58664982000104</v>
          </cell>
          <cell r="I511" t="str">
            <v>NOVA TECH SERVICOS TECNOLOGICOS LTDA</v>
          </cell>
          <cell r="J511" t="str">
            <v>ALAMEDA MAMORE</v>
          </cell>
          <cell r="K511">
            <v>687</v>
          </cell>
          <cell r="L511" t="str">
            <v>CONJ 0304 SALA 03-13</v>
          </cell>
          <cell r="M511" t="str">
            <v>ALPHAVILLE CENTRO INDUSTRIAL E EMPRESARI</v>
          </cell>
          <cell r="N511" t="str">
            <v>BARUERI</v>
          </cell>
          <cell r="O511" t="str">
            <v>SP</v>
          </cell>
          <cell r="Q511">
            <v>6454040</v>
          </cell>
          <cell r="R511">
            <v>170102220</v>
          </cell>
          <cell r="S511">
            <v>2</v>
          </cell>
          <cell r="T511">
            <v>2</v>
          </cell>
          <cell r="U511" t="str">
            <v>Analista de Risco: R$ 18.400,00 Antifraude: 10636 - Total: R$ 55.000,00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R$187.76 (1%)</v>
          </cell>
          <cell r="V511">
            <v>74897.960000000006</v>
          </cell>
          <cell r="W511">
            <v>1497.96</v>
          </cell>
          <cell r="X511">
            <v>1123.47</v>
          </cell>
          <cell r="Y511">
            <v>486.84</v>
          </cell>
          <cell r="Z511">
            <v>2246.94</v>
          </cell>
          <cell r="AA511">
            <v>748.98</v>
          </cell>
          <cell r="AB511">
            <v>74897.960000000006</v>
          </cell>
          <cell r="AC511">
            <v>0</v>
          </cell>
          <cell r="AD511">
            <v>0</v>
          </cell>
          <cell r="AE511" t="str">
            <v>Sim</v>
          </cell>
        </row>
        <row r="512">
          <cell r="F512">
            <v>122691</v>
          </cell>
          <cell r="G512">
            <v>236858</v>
          </cell>
          <cell r="H512">
            <v>48548723000156</v>
          </cell>
          <cell r="I512" t="str">
            <v>TORRES BIJUTERIAS LTDA</v>
          </cell>
          <cell r="J512" t="str">
            <v>RUA BARAO DO RIO BRANCO</v>
          </cell>
          <cell r="K512">
            <v>1120</v>
          </cell>
          <cell r="M512" t="str">
            <v>CENTRO</v>
          </cell>
          <cell r="N512" t="str">
            <v>FORTALEZA</v>
          </cell>
          <cell r="O512" t="str">
            <v>CE</v>
          </cell>
          <cell r="Q512">
            <v>60025060</v>
          </cell>
          <cell r="R512">
            <v>170102220</v>
          </cell>
          <cell r="S512">
            <v>2</v>
          </cell>
          <cell r="T512">
            <v>2</v>
          </cell>
          <cell r="U512" t="str">
            <v>Antifraude: 42 - Total: R$ 528,31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v>
          </cell>
          <cell r="V512">
            <v>539.09</v>
          </cell>
          <cell r="W512">
            <v>10.78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539.09</v>
          </cell>
          <cell r="AC512">
            <v>0</v>
          </cell>
          <cell r="AD512">
            <v>0</v>
          </cell>
          <cell r="AE512" t="str">
            <v>Sim</v>
          </cell>
        </row>
        <row r="513">
          <cell r="F513">
            <v>122692</v>
          </cell>
          <cell r="G513">
            <v>236867</v>
          </cell>
          <cell r="H513">
            <v>11188916000133</v>
          </cell>
          <cell r="I513" t="str">
            <v>TRAVEL PARTNER BRASIL AGENCIA DE TURISMO E VIAGENS LTDA.</v>
          </cell>
          <cell r="J513" t="str">
            <v>RUA BARAO DE TEFFE</v>
          </cell>
          <cell r="K513">
            <v>1000</v>
          </cell>
          <cell r="L513" t="str">
            <v>SALA 162</v>
          </cell>
          <cell r="M513" t="str">
            <v>JARDIM ANA MARIA</v>
          </cell>
          <cell r="N513" t="str">
            <v>JUNDIAI</v>
          </cell>
          <cell r="O513" t="str">
            <v>SP</v>
          </cell>
          <cell r="Q513">
            <v>13208761</v>
          </cell>
          <cell r="R513">
            <v>170102220</v>
          </cell>
          <cell r="S513">
            <v>2</v>
          </cell>
          <cell r="T513">
            <v>2</v>
          </cell>
          <cell r="U513" t="str">
            <v>Analista de Risco: R$ 0,01 Antifraude: 1125 - Total: R$ 19.130,77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513">
            <v>19521.2</v>
          </cell>
          <cell r="W513">
            <v>390.42</v>
          </cell>
          <cell r="X513">
            <v>292.82</v>
          </cell>
          <cell r="Y513">
            <v>126.89</v>
          </cell>
          <cell r="Z513">
            <v>585.64</v>
          </cell>
          <cell r="AA513">
            <v>195.21</v>
          </cell>
          <cell r="AB513">
            <v>19521.2</v>
          </cell>
          <cell r="AC513">
            <v>0</v>
          </cell>
          <cell r="AD513">
            <v>0</v>
          </cell>
          <cell r="AE513" t="str">
            <v>Sim</v>
          </cell>
        </row>
        <row r="514">
          <cell r="F514">
            <v>122693</v>
          </cell>
          <cell r="G514">
            <v>236850</v>
          </cell>
          <cell r="H514">
            <v>74261538000196</v>
          </cell>
          <cell r="I514" t="str">
            <v>T.T. OPERADORA TURISTICA LTDA</v>
          </cell>
          <cell r="J514" t="str">
            <v>AVENIDA SANTO AMARO</v>
          </cell>
          <cell r="K514">
            <v>4644</v>
          </cell>
          <cell r="L514" t="str">
            <v>LOJA: 5</v>
          </cell>
          <cell r="M514" t="str">
            <v>SANTO AMARO</v>
          </cell>
          <cell r="N514" t="str">
            <v>SAO PAULO</v>
          </cell>
          <cell r="O514" t="str">
            <v>SP</v>
          </cell>
          <cell r="Q514">
            <v>4702000</v>
          </cell>
          <cell r="R514">
            <v>170102220</v>
          </cell>
          <cell r="S514">
            <v>2</v>
          </cell>
          <cell r="T514">
            <v>2</v>
          </cell>
          <cell r="U514" t="str">
            <v>Antifraude: 129 - Total: R$ 1.303,40 (Cobrança pelo mínimo mensal) (Período de apuração: 01/08/2026 à 31/08/2026) Vencimento: 26/09/2026 Brazilian Tax Information: Valor estimado dos tributos IBS e CBS, conforme disposto no art. 12 da Lei Complementar nº 214/2025 (Reforma Tributária sobre Consumo): R$13.30 (1%)</v>
          </cell>
          <cell r="V514">
            <v>1330</v>
          </cell>
          <cell r="W514">
            <v>26.6</v>
          </cell>
          <cell r="X514">
            <v>19.95</v>
          </cell>
          <cell r="Y514">
            <v>0</v>
          </cell>
          <cell r="Z514">
            <v>0</v>
          </cell>
          <cell r="AA514">
            <v>0</v>
          </cell>
          <cell r="AB514">
            <v>1330</v>
          </cell>
          <cell r="AC514">
            <v>0</v>
          </cell>
          <cell r="AD514">
            <v>0</v>
          </cell>
          <cell r="AE514" t="str">
            <v>Sim</v>
          </cell>
        </row>
        <row r="515">
          <cell r="F515">
            <v>122694</v>
          </cell>
          <cell r="G515">
            <v>236851</v>
          </cell>
          <cell r="H515">
            <v>2302096000330</v>
          </cell>
          <cell r="I515" t="str">
            <v>USIMED DE TUBARAO COOPERATIVA DE USUARIOS DE ASSISTENCIA EM</v>
          </cell>
          <cell r="J515" t="str">
            <v>AVENIDA MARCOLINO MARTINS CABRAL</v>
          </cell>
          <cell r="K515">
            <v>1674</v>
          </cell>
          <cell r="L515" t="str">
            <v>SALAS 01 E 02</v>
          </cell>
          <cell r="M515" t="str">
            <v>VILA MOEMA</v>
          </cell>
          <cell r="N515" t="str">
            <v>TUBARAO</v>
          </cell>
          <cell r="O515" t="str">
            <v>SC</v>
          </cell>
          <cell r="Q515">
            <v>88705000</v>
          </cell>
          <cell r="R515">
            <v>170102220</v>
          </cell>
          <cell r="S515">
            <v>2</v>
          </cell>
          <cell r="T515">
            <v>2</v>
          </cell>
          <cell r="U515" t="str">
            <v>Antifraude: 21 - Total: R$ 156,59 (Cobrança pelo mínimo mensal) Análise Manual Expressa: 1 - Tarifa: 19,4800 - Total: R$ 19,48 (Período de apuração: 01/08/2026 à 31/08/2026) Vencimento: 26/09/2026 Brazilian Tax Information: Valor estimado dos tributos IBS e CBS, conforme disposto no art. 12 da Lei Complementar nº 214/2025 (Reforma Tributária sobre Consumo): R$1.60 (1%)</v>
          </cell>
          <cell r="V515">
            <v>179.67</v>
          </cell>
          <cell r="W515">
            <v>3.59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179.67</v>
          </cell>
          <cell r="AC515">
            <v>0</v>
          </cell>
          <cell r="AD515">
            <v>0</v>
          </cell>
          <cell r="AE515" t="str">
            <v>Sim</v>
          </cell>
        </row>
        <row r="516">
          <cell r="F516">
            <v>122695</v>
          </cell>
          <cell r="G516">
            <v>236849</v>
          </cell>
          <cell r="H516">
            <v>9300053000100</v>
          </cell>
          <cell r="I516" t="str">
            <v>VCT BRASIL IMPORTACAO E EXPORTACAO</v>
          </cell>
          <cell r="J516" t="str">
            <v>ALCIDES LOURENCO DA ROCHA</v>
          </cell>
          <cell r="K516">
            <v>0</v>
          </cell>
          <cell r="M516" t="str">
            <v>CIDADE MONCOES</v>
          </cell>
          <cell r="N516" t="str">
            <v>SAO PAULO</v>
          </cell>
          <cell r="O516" t="str">
            <v>SP</v>
          </cell>
          <cell r="Q516">
            <v>4571910</v>
          </cell>
          <cell r="R516">
            <v>170102220</v>
          </cell>
          <cell r="S516">
            <v>2</v>
          </cell>
          <cell r="T516">
            <v>2</v>
          </cell>
          <cell r="U516" t="str">
            <v>Antifraude: 454 - Total: R$ 800,00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R$8.16 (1%)</v>
          </cell>
          <cell r="V516">
            <v>816.33</v>
          </cell>
          <cell r="W516">
            <v>16.329999999999998</v>
          </cell>
          <cell r="X516">
            <v>12.24</v>
          </cell>
          <cell r="Y516">
            <v>5.31</v>
          </cell>
          <cell r="Z516">
            <v>24.49</v>
          </cell>
          <cell r="AA516">
            <v>8.16</v>
          </cell>
          <cell r="AB516">
            <v>816.33</v>
          </cell>
          <cell r="AC516">
            <v>0</v>
          </cell>
          <cell r="AD516">
            <v>0</v>
          </cell>
          <cell r="AE516" t="str">
            <v>Sim</v>
          </cell>
        </row>
        <row r="517">
          <cell r="F517">
            <v>122696</v>
          </cell>
          <cell r="G517">
            <v>236869</v>
          </cell>
          <cell r="H517">
            <v>54360623006216</v>
          </cell>
          <cell r="I517" t="str">
            <v>VIACAO PIRACICABANA S.A.</v>
          </cell>
          <cell r="J517" t="str">
            <v>AVENIDA PEREIRA BARRETO</v>
          </cell>
          <cell r="K517">
            <v>1479</v>
          </cell>
          <cell r="L517" t="str">
            <v>SALA 1116</v>
          </cell>
          <cell r="M517" t="str">
            <v>BAETA NEVES</v>
          </cell>
          <cell r="N517" t="str">
            <v>SAO BERNARDO DO CAMPO</v>
          </cell>
          <cell r="O517" t="str">
            <v>SP</v>
          </cell>
          <cell r="Q517">
            <v>9751000</v>
          </cell>
          <cell r="R517">
            <v>170102220</v>
          </cell>
          <cell r="S517">
            <v>2</v>
          </cell>
          <cell r="T517">
            <v>2</v>
          </cell>
          <cell r="U517" t="str">
            <v>Analista de Risco: R$ 6.478,57 Emailage: 58921 - Tarifa:  0,3886 - Total: R$ 22.896,70 Antifraude: 58926 - Tarifa:  0,3696 - Total: R$ 21.779,05 (Período de apuração: 01/08/2026 à 31/08/2026) Vencimento: 26/09/2026 Brazilian Tax Information: Valor estimado dos tributos IBS e CBS, conforme disposto no art. 12 da Lei Complementar nº 214/2025 (Reforma Tributária sobre Consumo): R$66.11 (1%)</v>
          </cell>
          <cell r="V517">
            <v>52198.29</v>
          </cell>
          <cell r="W517">
            <v>1043.97</v>
          </cell>
          <cell r="X517">
            <v>782.97</v>
          </cell>
          <cell r="Y517">
            <v>339.29</v>
          </cell>
          <cell r="Z517">
            <v>1565.95</v>
          </cell>
          <cell r="AA517">
            <v>521.99</v>
          </cell>
          <cell r="AB517">
            <v>52198.29</v>
          </cell>
          <cell r="AC517">
            <v>0</v>
          </cell>
          <cell r="AD517">
            <v>0</v>
          </cell>
          <cell r="AE517" t="str">
            <v>Sim</v>
          </cell>
        </row>
        <row r="518">
          <cell r="F518">
            <v>122697</v>
          </cell>
          <cell r="G518">
            <v>236864</v>
          </cell>
          <cell r="H518">
            <v>58763538000138</v>
          </cell>
          <cell r="I518" t="str">
            <v>VIBRE MAIS COMERCIO DE ARTIGOS LTDA</v>
          </cell>
          <cell r="J518" t="str">
            <v>RUA DO SIMBOLO</v>
          </cell>
          <cell r="K518">
            <v>131</v>
          </cell>
          <cell r="L518" t="str">
            <v>APT 51</v>
          </cell>
          <cell r="M518" t="str">
            <v>JARDIM AMPLIACAO</v>
          </cell>
          <cell r="N518" t="str">
            <v>SAO PAULO</v>
          </cell>
          <cell r="O518" t="str">
            <v>SP</v>
          </cell>
          <cell r="Q518">
            <v>5713570</v>
          </cell>
          <cell r="R518">
            <v>170102220</v>
          </cell>
          <cell r="S518">
            <v>2</v>
          </cell>
          <cell r="T518">
            <v>2</v>
          </cell>
          <cell r="U518" t="str">
            <v>Antifraude: 1 - Total: R$ 475,00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v>
          </cell>
          <cell r="V518">
            <v>484.69</v>
          </cell>
          <cell r="W518">
            <v>9.69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484.69</v>
          </cell>
          <cell r="AC518">
            <v>0</v>
          </cell>
          <cell r="AD518">
            <v>0</v>
          </cell>
          <cell r="AE518" t="str">
            <v>Sim</v>
          </cell>
        </row>
        <row r="519">
          <cell r="F519">
            <v>122698</v>
          </cell>
          <cell r="G519">
            <v>236855</v>
          </cell>
          <cell r="H519">
            <v>22945839000135</v>
          </cell>
          <cell r="I519" t="str">
            <v>VINILTEC INDUSTRIA DE PISCINAS LTDA</v>
          </cell>
          <cell r="J519" t="str">
            <v>AVENIDA BRASIL</v>
          </cell>
          <cell r="K519">
            <v>1745</v>
          </cell>
          <cell r="L519" t="str">
            <v>GALPAO01</v>
          </cell>
          <cell r="M519" t="str">
            <v>CIDADE JARDIM</v>
          </cell>
          <cell r="N519" t="str">
            <v>ANAPOLIS</v>
          </cell>
          <cell r="O519" t="str">
            <v>GO</v>
          </cell>
          <cell r="Q519">
            <v>75080240</v>
          </cell>
          <cell r="R519">
            <v>170102220</v>
          </cell>
          <cell r="S519">
            <v>2</v>
          </cell>
          <cell r="T519">
            <v>2</v>
          </cell>
          <cell r="U519" t="str">
            <v>Antifraude: 4 - Total: R$ 186,00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R$1.90 (1%)</v>
          </cell>
          <cell r="V519">
            <v>189.8</v>
          </cell>
          <cell r="W519">
            <v>3.8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189.8</v>
          </cell>
          <cell r="AC519">
            <v>0</v>
          </cell>
          <cell r="AD519">
            <v>0</v>
          </cell>
          <cell r="AE519" t="str">
            <v>Sim</v>
          </cell>
        </row>
        <row r="520">
          <cell r="F520">
            <v>122699</v>
          </cell>
          <cell r="G520">
            <v>236857</v>
          </cell>
          <cell r="H520">
            <v>12157924000185</v>
          </cell>
          <cell r="I520" t="str">
            <v>V M CARDOSO LETTRARI E CIA LTDA</v>
          </cell>
          <cell r="J520" t="str">
            <v>RUA ACACIO NUNES</v>
          </cell>
          <cell r="K520">
            <v>1078</v>
          </cell>
          <cell r="M520" t="str">
            <v>CENTRO</v>
          </cell>
          <cell r="N520" t="str">
            <v>GUAIRA</v>
          </cell>
          <cell r="O520" t="str">
            <v>PR</v>
          </cell>
          <cell r="Q520">
            <v>85980071</v>
          </cell>
          <cell r="R520">
            <v>170102220</v>
          </cell>
          <cell r="S520">
            <v>2</v>
          </cell>
          <cell r="T520">
            <v>2</v>
          </cell>
          <cell r="U520" t="str">
            <v>Antifraude: 228 - Total: R$ 872,78 (Cobrança pelo mínimo mensal) Análise Manual Expressa: 83 - Tarifa: 11,9900 - Total: R$ 995,17 (Período de apuração: 01/08/2026 à 31/08/2026) Vencimento: 26/09/2026 Brazilian Tax Information: Valor estimado dos tributos IBS e CBS, conforme disposto no art. 12 da Lei Complementar nº 214/2025 (Reforma Tributária sobre Consumo): R$8.91 (1%)</v>
          </cell>
          <cell r="V520">
            <v>1906.07</v>
          </cell>
          <cell r="W520">
            <v>38.119999999999997</v>
          </cell>
          <cell r="X520">
            <v>28.59</v>
          </cell>
          <cell r="Y520">
            <v>6.6</v>
          </cell>
          <cell r="Z520">
            <v>30.46</v>
          </cell>
          <cell r="AA520">
            <v>10.15</v>
          </cell>
          <cell r="AB520">
            <v>1906.07</v>
          </cell>
          <cell r="AC520">
            <v>0</v>
          </cell>
          <cell r="AD520">
            <v>0</v>
          </cell>
          <cell r="AE520" t="str">
            <v>Sim</v>
          </cell>
        </row>
        <row r="521">
          <cell r="F521">
            <v>122700</v>
          </cell>
          <cell r="G521">
            <v>236859</v>
          </cell>
          <cell r="H521">
            <v>7687928000640</v>
          </cell>
          <cell r="I521" t="str">
            <v>WISH S.A.</v>
          </cell>
          <cell r="J521" t="str">
            <v>VIA COSTEIRA SENADOR DINARTE MEDEIROS MARIZ</v>
          </cell>
          <cell r="K521">
            <v>5525</v>
          </cell>
          <cell r="M521" t="str">
            <v>PARQUE DAS DUNAS</v>
          </cell>
          <cell r="N521" t="str">
            <v>NATAL</v>
          </cell>
          <cell r="O521" t="str">
            <v>RN</v>
          </cell>
          <cell r="Q521">
            <v>59089700</v>
          </cell>
          <cell r="R521">
            <v>170102220</v>
          </cell>
          <cell r="S521">
            <v>2</v>
          </cell>
          <cell r="T521">
            <v>2</v>
          </cell>
          <cell r="U521" t="str">
            <v>Antifraude: 69 - Total: R$ 828,93 (Cobrança pelo mínimo mensal) Análise Manual: 38 - Tarifa: 10,6021 - Total: R$ 402,88 (Período de apuração: 01/08/2026 à 31/08/2026) Vencimento: 26/09/2026 Brazilian Tax Information: Valor estimado dos tributos IBS e CBS, conforme disposto no art. 12 da Lei Complementar nº 214/2025 (Reforma Tributária sobre Consumo): R$8.46 (1%)</v>
          </cell>
          <cell r="V521">
            <v>1256.95</v>
          </cell>
          <cell r="W521">
            <v>25.14</v>
          </cell>
          <cell r="X521">
            <v>18.86</v>
          </cell>
          <cell r="Y521">
            <v>8.17</v>
          </cell>
          <cell r="Z521">
            <v>37.71</v>
          </cell>
          <cell r="AA521">
            <v>12.57</v>
          </cell>
          <cell r="AB521">
            <v>1256.95</v>
          </cell>
          <cell r="AC521">
            <v>0</v>
          </cell>
          <cell r="AD521">
            <v>0</v>
          </cell>
          <cell r="AE521" t="str">
            <v>Sim</v>
          </cell>
        </row>
        <row r="522">
          <cell r="F522">
            <v>122701</v>
          </cell>
          <cell r="G522">
            <v>236882</v>
          </cell>
          <cell r="H522">
            <v>7687928001450</v>
          </cell>
          <cell r="I522" t="str">
            <v>WISH S.A.</v>
          </cell>
          <cell r="J522" t="str">
            <v>AVENIDA DAS HORTENSIAS</v>
          </cell>
          <cell r="K522">
            <v>1480</v>
          </cell>
          <cell r="L522" t="str">
            <v>SALA A</v>
          </cell>
          <cell r="M522" t="str">
            <v>CENTRO</v>
          </cell>
          <cell r="N522" t="str">
            <v>GRAMADO</v>
          </cell>
          <cell r="O522" t="str">
            <v>RS</v>
          </cell>
          <cell r="Q522">
            <v>95670138</v>
          </cell>
          <cell r="R522">
            <v>170102220</v>
          </cell>
          <cell r="S522">
            <v>2</v>
          </cell>
          <cell r="T522">
            <v>2</v>
          </cell>
          <cell r="U522" t="str">
            <v>Antifraude: 239 - Total: R$ 712,19 (Cobrança pelo mínimo mensal) Análise Manual: 161 - Tarifa: 9,1121 - Total: R$ 1.467,05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22">
            <v>2223.71</v>
          </cell>
          <cell r="W522">
            <v>44.47</v>
          </cell>
          <cell r="X522">
            <v>33.35</v>
          </cell>
          <cell r="Y522">
            <v>14.45</v>
          </cell>
          <cell r="Z522">
            <v>66.709999999999994</v>
          </cell>
          <cell r="AA522">
            <v>22.24</v>
          </cell>
          <cell r="AB522">
            <v>2223.71</v>
          </cell>
          <cell r="AC522">
            <v>0</v>
          </cell>
          <cell r="AD522">
            <v>0</v>
          </cell>
          <cell r="AE522" t="str">
            <v>Sim</v>
          </cell>
        </row>
        <row r="523">
          <cell r="F523">
            <v>122702</v>
          </cell>
          <cell r="G523">
            <v>236899</v>
          </cell>
          <cell r="H523">
            <v>3832130000189</v>
          </cell>
          <cell r="I523" t="str">
            <v>TRIADE SOLUCOES INTELIGENTES INFORMATICA LTDA</v>
          </cell>
          <cell r="J523" t="str">
            <v>RUA SENADOR ALFREDO ELLIS</v>
          </cell>
          <cell r="K523">
            <v>181</v>
          </cell>
          <cell r="M523" t="str">
            <v>JARDIM AMALIA</v>
          </cell>
          <cell r="N523" t="str">
            <v>VOLTA REDONDA</v>
          </cell>
          <cell r="O523" t="str">
            <v>RJ</v>
          </cell>
          <cell r="Q523">
            <v>27251400</v>
          </cell>
          <cell r="R523">
            <v>170102220</v>
          </cell>
          <cell r="S523">
            <v>2</v>
          </cell>
          <cell r="T523">
            <v>2</v>
          </cell>
          <cell r="U523" t="str">
            <v>AntiFraude: Transações: 0 - Total: R$ 467,02 (Cobrança pelo mínimo mensal) (Período de apuração: 01/08/2026 à 31/08/2026) Vencimento: 26/09/2026 Brazilian Tax Information: Valor estimado dos tributos IBS e CBS, conforme disposto no art. 12 da Lei Complementar nº 214/2025 (Reforma Tributária sobre Consumo): R$4.77 (1%)</v>
          </cell>
          <cell r="V523">
            <v>476.55</v>
          </cell>
          <cell r="W523">
            <v>9.5299999999999994</v>
          </cell>
          <cell r="X523">
            <v>0</v>
          </cell>
          <cell r="Y523">
            <v>3.1</v>
          </cell>
          <cell r="Z523">
            <v>14.3</v>
          </cell>
          <cell r="AA523">
            <v>4.7699999999999996</v>
          </cell>
          <cell r="AB523">
            <v>476.55</v>
          </cell>
          <cell r="AC523">
            <v>0</v>
          </cell>
          <cell r="AD523">
            <v>0</v>
          </cell>
          <cell r="AE523" t="str">
            <v>Sim</v>
          </cell>
        </row>
        <row r="524">
          <cell r="F524">
            <v>122703</v>
          </cell>
          <cell r="G524">
            <v>236915</v>
          </cell>
          <cell r="H524">
            <v>3585974000172</v>
          </cell>
          <cell r="I524" t="str">
            <v>OMNILINK TECNOLOGIA S.A.</v>
          </cell>
          <cell r="J524" t="str">
            <v>TOCANTINS</v>
          </cell>
          <cell r="K524">
            <v>0</v>
          </cell>
          <cell r="M524" t="str">
            <v>ALPHAVILLE CENTRO INDUSTRIAL E EMPRESARI</v>
          </cell>
          <cell r="N524" t="str">
            <v>BARUERI</v>
          </cell>
          <cell r="O524" t="str">
            <v>SP</v>
          </cell>
          <cell r="Q524">
            <v>6455020</v>
          </cell>
          <cell r="R524">
            <v>170102220</v>
          </cell>
          <cell r="S524">
            <v>2</v>
          </cell>
          <cell r="T524">
            <v>2</v>
          </cell>
          <cell r="U524" t="str">
            <v>AntiFraude: Transações: 0 - Total: R$ 383,46 (Cobrança pelo mínimo mensal) (Período de apuração: 01/08/2026 à 31/08/2026) Vencimento: 11/10/2026 Brazilian Tax Information: Valor estimado dos tributos IBS e CBS, conforme disposto no art. 12 da Lei Complementar nº 214/2025 (Reforma Tributária sobre Consumo): R$3.91 (1%)</v>
          </cell>
          <cell r="V524">
            <v>391.29</v>
          </cell>
          <cell r="W524">
            <v>7.83</v>
          </cell>
          <cell r="X524">
            <v>0</v>
          </cell>
          <cell r="Y524">
            <v>2.54</v>
          </cell>
          <cell r="Z524">
            <v>11.74</v>
          </cell>
          <cell r="AA524">
            <v>3.91</v>
          </cell>
          <cell r="AB524">
            <v>391.29</v>
          </cell>
          <cell r="AC524">
            <v>0</v>
          </cell>
          <cell r="AD524">
            <v>0</v>
          </cell>
          <cell r="AE524" t="str">
            <v>Sim</v>
          </cell>
        </row>
        <row r="525">
          <cell r="F525">
            <v>122704</v>
          </cell>
          <cell r="G525">
            <v>236880</v>
          </cell>
          <cell r="H525">
            <v>5558568000146</v>
          </cell>
          <cell r="I525" t="str">
            <v>RESERVA FEITA TURISMO, EVENTOS E TECNOLOGIA LTDA</v>
          </cell>
          <cell r="J525" t="str">
            <v>RUA ANTONIO MARIA COELHO</v>
          </cell>
          <cell r="K525">
            <v>3623</v>
          </cell>
          <cell r="M525" t="str">
            <v>JARDIM DOS ESTADOS</v>
          </cell>
          <cell r="N525" t="str">
            <v>CAMPO GRANDE</v>
          </cell>
          <cell r="O525" t="str">
            <v>MS</v>
          </cell>
          <cell r="Q525">
            <v>79020210</v>
          </cell>
          <cell r="R525">
            <v>170102220</v>
          </cell>
          <cell r="S525">
            <v>2</v>
          </cell>
          <cell r="T525">
            <v>2</v>
          </cell>
          <cell r="U525" t="str">
            <v>AntiFraude: Transações: 0 - Total: R$ 246,60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v>
          </cell>
          <cell r="V525">
            <v>251.63</v>
          </cell>
          <cell r="W525">
            <v>5.03</v>
          </cell>
          <cell r="X525">
            <v>0</v>
          </cell>
          <cell r="Y525">
            <v>1.64</v>
          </cell>
          <cell r="Z525">
            <v>7.55</v>
          </cell>
          <cell r="AA525">
            <v>2.52</v>
          </cell>
          <cell r="AB525">
            <v>251.63</v>
          </cell>
          <cell r="AC525">
            <v>0</v>
          </cell>
          <cell r="AD525">
            <v>0</v>
          </cell>
          <cell r="AE525" t="str">
            <v>Sim</v>
          </cell>
        </row>
        <row r="526">
          <cell r="F526">
            <v>122705</v>
          </cell>
          <cell r="G526">
            <v>236908</v>
          </cell>
          <cell r="H526">
            <v>5882351000197</v>
          </cell>
          <cell r="I526" t="str">
            <v>R MILET COMERCIO DE CALCADOS LTDA</v>
          </cell>
          <cell r="J526" t="str">
            <v>AVENIDA FREI CIRILO</v>
          </cell>
          <cell r="K526">
            <v>3840</v>
          </cell>
          <cell r="L526" t="str">
            <v>LOJA 61</v>
          </cell>
          <cell r="M526" t="str">
            <v>MESSEJANA</v>
          </cell>
          <cell r="N526" t="str">
            <v>FORTALEZA</v>
          </cell>
          <cell r="O526" t="str">
            <v>CE</v>
          </cell>
          <cell r="Q526">
            <v>60840285</v>
          </cell>
          <cell r="R526">
            <v>170102220</v>
          </cell>
          <cell r="S526">
            <v>2</v>
          </cell>
          <cell r="T526">
            <v>2</v>
          </cell>
          <cell r="U526" t="str">
            <v>AntiFraude: Transações: 0 - Total: R$ 406,33 (Cobrança pelo mínimo mensal) (Período de apuração: 01/08/2026 à 31/08/2026) Vencimento: 26/09/2026 Brazilian Tax Information: Valor estimado dos tributos IBS e CBS, conforme disposto no art. 12 da Lei Complementar nº 214/2025 (Reforma Tributária sobre Consumo): R$4.15 (1%)</v>
          </cell>
          <cell r="V526">
            <v>414.62</v>
          </cell>
          <cell r="W526">
            <v>8.2899999999999991</v>
          </cell>
          <cell r="X526">
            <v>0</v>
          </cell>
          <cell r="Y526">
            <v>2.7</v>
          </cell>
          <cell r="Z526">
            <v>12.44</v>
          </cell>
          <cell r="AA526">
            <v>4.1500000000000004</v>
          </cell>
          <cell r="AB526">
            <v>414.62</v>
          </cell>
          <cell r="AC526">
            <v>0</v>
          </cell>
          <cell r="AD526">
            <v>0</v>
          </cell>
          <cell r="AE526" t="str">
            <v>Sim</v>
          </cell>
        </row>
        <row r="527">
          <cell r="F527">
            <v>122706</v>
          </cell>
          <cell r="G527">
            <v>236904</v>
          </cell>
          <cell r="H527">
            <v>27629964000150</v>
          </cell>
          <cell r="I527" t="str">
            <v>OCTO CLOUD DESENVOLVIMENTO E LICENCIAMENTO DE SOFTWARE LTDA</v>
          </cell>
          <cell r="J527" t="str">
            <v>AVENIDA PRESIDENTE JUSCELINO KUBITSCHEK DE OLIVEIRA</v>
          </cell>
          <cell r="K527">
            <v>5000</v>
          </cell>
          <cell r="L527" t="str">
            <v>BLOCO 1 SA LA 511</v>
          </cell>
          <cell r="M527" t="str">
            <v>IGUATEMI</v>
          </cell>
          <cell r="N527" t="str">
            <v>SAO JOSE DO RIO PRETO</v>
          </cell>
          <cell r="O527" t="str">
            <v>SP</v>
          </cell>
          <cell r="Q527">
            <v>15093340</v>
          </cell>
          <cell r="R527">
            <v>170102220</v>
          </cell>
          <cell r="S527">
            <v>2</v>
          </cell>
          <cell r="T527">
            <v>2</v>
          </cell>
          <cell r="U527" t="str">
            <v>AntiFraude: Transações: 0 - Total: R$ 216,23 (Cobrança pelo mínimo mensal) (Período de apuração: 01/08/2026 à 31/08/2026) Vencimento: 26/09/2026 Brazilian Tax Information: Valor estimado dos tributos IBS e CBS, conforme disposto no art. 12 da Lei Complementar nº 214/2025 (Reforma Tributária sobre Consumo): R$2.21 (1%)</v>
          </cell>
          <cell r="V527">
            <v>220.64</v>
          </cell>
          <cell r="W527">
            <v>4.41</v>
          </cell>
          <cell r="X527">
            <v>0</v>
          </cell>
          <cell r="Y527">
            <v>1.43</v>
          </cell>
          <cell r="Z527">
            <v>6.62</v>
          </cell>
          <cell r="AA527">
            <v>2.21</v>
          </cell>
          <cell r="AB527">
            <v>220.64</v>
          </cell>
          <cell r="AC527">
            <v>0</v>
          </cell>
          <cell r="AD527">
            <v>0</v>
          </cell>
          <cell r="AE527" t="str">
            <v>Sim</v>
          </cell>
        </row>
        <row r="528">
          <cell r="F528">
            <v>122707</v>
          </cell>
          <cell r="G528">
            <v>236903</v>
          </cell>
          <cell r="H528">
            <v>55132906000151</v>
          </cell>
          <cell r="I528" t="str">
            <v>PRIME TOUR AGENCIA DE VIAGENS E TURISMO LTDA</v>
          </cell>
          <cell r="J528" t="str">
            <v>AVENIDA PAULISTA</v>
          </cell>
          <cell r="K528">
            <v>854</v>
          </cell>
          <cell r="L528" t="str">
            <v>ANDAR 8 CO NJ 82</v>
          </cell>
          <cell r="M528" t="str">
            <v>BELA VISTA</v>
          </cell>
          <cell r="N528" t="str">
            <v>SAO PAULO</v>
          </cell>
          <cell r="O528" t="str">
            <v>SP</v>
          </cell>
          <cell r="Q528">
            <v>1310913</v>
          </cell>
          <cell r="R528">
            <v>170102220</v>
          </cell>
          <cell r="S528">
            <v>2</v>
          </cell>
          <cell r="T528">
            <v>2</v>
          </cell>
          <cell r="U528" t="str">
            <v>AntiFraude: Transações: 0 - Total: R$ 302,40 (Cobrança pelo mínimo mensal) (Período de apuração: 01/08/2026 à 31/08/2026) Vencimento: 26/09/2026 Brazilian Tax Information: Valor estimado dos tributos IBS e CBS, conforme disposto no art. 12 da Lei Complementar nº 214/2025 (Reforma Tributária sobre Consumo): R$3.09 (1%)</v>
          </cell>
          <cell r="V528">
            <v>308.57</v>
          </cell>
          <cell r="W528">
            <v>6.17</v>
          </cell>
          <cell r="X528">
            <v>0</v>
          </cell>
          <cell r="Y528">
            <v>2.0099999999999998</v>
          </cell>
          <cell r="Z528">
            <v>9.26</v>
          </cell>
          <cell r="AA528">
            <v>3.09</v>
          </cell>
          <cell r="AB528">
            <v>308.57</v>
          </cell>
          <cell r="AC528">
            <v>0</v>
          </cell>
          <cell r="AD528">
            <v>0</v>
          </cell>
          <cell r="AE528" t="str">
            <v>Sim</v>
          </cell>
        </row>
        <row r="529">
          <cell r="F529">
            <v>122708</v>
          </cell>
          <cell r="G529">
            <v>236898</v>
          </cell>
          <cell r="H529">
            <v>13756472000110</v>
          </cell>
          <cell r="I529" t="str">
            <v>ROSSTAMP CONFECCAO E ESTAMPARIA LTDA</v>
          </cell>
          <cell r="J529" t="str">
            <v>AVENIDA MONTEIRO LOBATO</v>
          </cell>
          <cell r="K529">
            <v>2297</v>
          </cell>
          <cell r="L529" t="str">
            <v>GALPAO01</v>
          </cell>
          <cell r="M529" t="str">
            <v>VILA MIRIAM</v>
          </cell>
          <cell r="N529" t="str">
            <v>GUARULHOS</v>
          </cell>
          <cell r="O529" t="str">
            <v>SP</v>
          </cell>
          <cell r="Q529">
            <v>7190000</v>
          </cell>
          <cell r="R529">
            <v>170102220</v>
          </cell>
          <cell r="S529">
            <v>2</v>
          </cell>
          <cell r="T529">
            <v>2</v>
          </cell>
          <cell r="U529" t="str">
            <v>AntiFraude: Transações: 0 - Total: R$ 236,53 (Cobrança pelo mínimo mensal) (Período de apuração: 01/08/2026 à 31/08/2026) Vencimento: 26/09/2026 Brazilian Tax Information: Valor estimado dos tributos IBS e CBS, conforme disposto no art. 12 da Lei Complementar nº 214/2025 (Reforma Tributária sobre Consumo): R$2.41 (1%)</v>
          </cell>
          <cell r="V529">
            <v>241.36</v>
          </cell>
          <cell r="W529">
            <v>4.83</v>
          </cell>
          <cell r="X529">
            <v>0</v>
          </cell>
          <cell r="Y529">
            <v>1.57</v>
          </cell>
          <cell r="Z529">
            <v>7.24</v>
          </cell>
          <cell r="AA529">
            <v>2.41</v>
          </cell>
          <cell r="AB529">
            <v>241.36</v>
          </cell>
          <cell r="AC529">
            <v>0</v>
          </cell>
          <cell r="AD529">
            <v>0</v>
          </cell>
          <cell r="AE529" t="str">
            <v>Sim</v>
          </cell>
        </row>
        <row r="530">
          <cell r="F530">
            <v>122709</v>
          </cell>
          <cell r="G530">
            <v>236894</v>
          </cell>
          <cell r="H530">
            <v>87163234000138</v>
          </cell>
          <cell r="I530" t="str">
            <v>SABEMI SEGURADORA SA</v>
          </cell>
          <cell r="J530" t="str">
            <v>RUA SETE DE SETEMBRO</v>
          </cell>
          <cell r="K530">
            <v>515</v>
          </cell>
          <cell r="L530" t="str">
            <v>PREDIO 513 TERREO AN</v>
          </cell>
          <cell r="M530" t="str">
            <v>CENTRO HISTORICO</v>
          </cell>
          <cell r="N530" t="str">
            <v>PORTO ALEGRE</v>
          </cell>
          <cell r="O530" t="str">
            <v>RS</v>
          </cell>
          <cell r="Q530">
            <v>90010190</v>
          </cell>
          <cell r="R530">
            <v>170102220</v>
          </cell>
          <cell r="S530">
            <v>2</v>
          </cell>
          <cell r="T530">
            <v>2</v>
          </cell>
          <cell r="U530" t="str">
            <v>AntiFraude: Transações: 0 - Total: R$ 1.647,24 (Cobrança pelo mínimo mensal) (Período de apuração: 01/08/2026 à 31/08/2026) Vencimento: 30/10/2026 Brazilian Tax Information: Valor estimado dos tributos IBS e CBS, conforme disposto no art. 12 da Lei Complementar nº 214/2025 (Reforma Tributária sobre Consumo): R$16.81 (1%)</v>
          </cell>
          <cell r="V530">
            <v>1680.86</v>
          </cell>
          <cell r="W530">
            <v>33.619999999999997</v>
          </cell>
          <cell r="X530">
            <v>25.21</v>
          </cell>
          <cell r="Y530">
            <v>10.93</v>
          </cell>
          <cell r="Z530">
            <v>50.43</v>
          </cell>
          <cell r="AA530">
            <v>16.809999999999999</v>
          </cell>
          <cell r="AB530">
            <v>1680.86</v>
          </cell>
          <cell r="AC530">
            <v>0</v>
          </cell>
          <cell r="AD530">
            <v>0</v>
          </cell>
          <cell r="AE530" t="str">
            <v>Sim</v>
          </cell>
        </row>
        <row r="531">
          <cell r="F531">
            <v>122710</v>
          </cell>
          <cell r="G531">
            <v>236883</v>
          </cell>
          <cell r="H531">
            <v>8845775000170</v>
          </cell>
          <cell r="I531" t="str">
            <v>VERTEM SOLUCOES DE ENGAJAMENTO LTDA.</v>
          </cell>
          <cell r="J531" t="str">
            <v>ALAMEDA RIO NEGRO</v>
          </cell>
          <cell r="K531">
            <v>585</v>
          </cell>
          <cell r="L531" t="str">
            <v>BLOCO C AN DAR 13 CO</v>
          </cell>
          <cell r="M531" t="str">
            <v>ALPHAVILLE CENTRO INDUSTRIAL E EMPRESARI</v>
          </cell>
          <cell r="N531" t="str">
            <v>BARUERI</v>
          </cell>
          <cell r="O531" t="str">
            <v>SP</v>
          </cell>
          <cell r="Q531">
            <v>6454000</v>
          </cell>
          <cell r="R531">
            <v>170102220</v>
          </cell>
          <cell r="S531">
            <v>2</v>
          </cell>
          <cell r="T531">
            <v>2</v>
          </cell>
          <cell r="U531" t="str">
            <v>AntiFraude: Transações: 0 - Total: R$ 304,20 (Cobrança pelo mínimo mensal) (Período de apuração: 01/08/2026 à 31/08/2026) Vencimento: 11/10/2026 Brazilian Tax Information: Valor estimado dos tributos IBS e CBS, conforme disposto no art. 12 da Lei Complementar nº 214/2025 (Reforma Tributária sobre Consumo): R$3.10 (1%)</v>
          </cell>
          <cell r="V531">
            <v>310.41000000000003</v>
          </cell>
          <cell r="W531">
            <v>6.21</v>
          </cell>
          <cell r="X531">
            <v>0</v>
          </cell>
          <cell r="Y531">
            <v>2.02</v>
          </cell>
          <cell r="Z531">
            <v>9.31</v>
          </cell>
          <cell r="AA531">
            <v>3.1</v>
          </cell>
          <cell r="AB531">
            <v>310.41000000000003</v>
          </cell>
          <cell r="AC531">
            <v>0</v>
          </cell>
          <cell r="AD531">
            <v>0</v>
          </cell>
          <cell r="AE531" t="str">
            <v>Sim</v>
          </cell>
        </row>
        <row r="532">
          <cell r="F532">
            <v>122711</v>
          </cell>
          <cell r="G532">
            <v>236897</v>
          </cell>
          <cell r="H532">
            <v>9180505000150</v>
          </cell>
          <cell r="I532" t="str">
            <v>USEBENS SEGUROS S/A</v>
          </cell>
          <cell r="J532" t="str">
            <v>AVENIDA ANISIO HADDAD</v>
          </cell>
          <cell r="K532">
            <v>8001</v>
          </cell>
          <cell r="L532" t="str">
            <v>SALA 213 E SCRITORIO</v>
          </cell>
          <cell r="M532" t="str">
            <v>GEORGINA BUSINESS PARK</v>
          </cell>
          <cell r="N532" t="str">
            <v>SAO JOSE DO RIO PRETO</v>
          </cell>
          <cell r="O532" t="str">
            <v>SP</v>
          </cell>
          <cell r="Q532">
            <v>15091751</v>
          </cell>
          <cell r="R532">
            <v>170102220</v>
          </cell>
          <cell r="S532">
            <v>2</v>
          </cell>
          <cell r="T532">
            <v>2</v>
          </cell>
          <cell r="U532" t="str">
            <v>AntiFraude: Transações: 0 - Total: R$ 1.272,83 (Cobrança pelo mínimo mensal) (Período de apuração: 01/08/2026 à 31/08/2026) Vencimento: 08/10/2026 Brazilian Tax Information: Valor estimado dos tributos IBS e CBS, conforme disposto no art. 12 da Lei Complementar nº 214/2025 (Reforma Tributária sobre Consumo): R$12.99 (1%)</v>
          </cell>
          <cell r="V532">
            <v>1298.81</v>
          </cell>
          <cell r="W532">
            <v>25.98</v>
          </cell>
          <cell r="X532">
            <v>19.48</v>
          </cell>
          <cell r="Y532">
            <v>8.44</v>
          </cell>
          <cell r="Z532">
            <v>38.96</v>
          </cell>
          <cell r="AA532">
            <v>12.99</v>
          </cell>
          <cell r="AB532">
            <v>1298.81</v>
          </cell>
          <cell r="AC532">
            <v>0</v>
          </cell>
          <cell r="AD532">
            <v>0</v>
          </cell>
          <cell r="AE532" t="str">
            <v>Sim</v>
          </cell>
        </row>
        <row r="533">
          <cell r="F533">
            <v>122712</v>
          </cell>
          <cell r="G533">
            <v>236884</v>
          </cell>
          <cell r="H533">
            <v>2402689000106</v>
          </cell>
          <cell r="I533" t="str">
            <v>PRATAS PARK HOTEL LTDA</v>
          </cell>
          <cell r="J533" t="str">
            <v>RODOVIA 283, ESTRADA GERAL</v>
          </cell>
          <cell r="K533" t="str">
            <v>SN</v>
          </cell>
          <cell r="L533" t="str">
            <v>BALNEARIO DE PRATAS</v>
          </cell>
          <cell r="M533" t="str">
            <v>CENTRO</v>
          </cell>
          <cell r="N533" t="str">
            <v>SAO CARLOS</v>
          </cell>
          <cell r="O533" t="str">
            <v>SC</v>
          </cell>
          <cell r="Q533">
            <v>89885000</v>
          </cell>
          <cell r="R533">
            <v>170102220</v>
          </cell>
          <cell r="S533">
            <v>2</v>
          </cell>
          <cell r="T533">
            <v>2</v>
          </cell>
          <cell r="U533" t="str">
            <v>AntiFraude: Transações: 0 - Total: R$ 224,84 (Cobrança pelo mínimo mensal) (Período de apuração: 01/08/2026 à 31/08/2026) Vencimento: 26/09/2026 Brazilian Tax Information: Valor estimado dos tributos IBS e CBS, conforme disposto no art. 12 da Lei Complementar nº 214/2025 (Reforma Tributária sobre Consumo): R$2.29 (1%)</v>
          </cell>
          <cell r="V533">
            <v>229.43</v>
          </cell>
          <cell r="W533">
            <v>4.59</v>
          </cell>
          <cell r="X533">
            <v>0</v>
          </cell>
          <cell r="Y533">
            <v>1.49</v>
          </cell>
          <cell r="Z533">
            <v>6.88</v>
          </cell>
          <cell r="AA533">
            <v>2.29</v>
          </cell>
          <cell r="AB533">
            <v>229.43</v>
          </cell>
          <cell r="AC533">
            <v>0</v>
          </cell>
          <cell r="AD533">
            <v>0</v>
          </cell>
          <cell r="AE533" t="str">
            <v>Sim</v>
          </cell>
        </row>
        <row r="534">
          <cell r="F534">
            <v>122713</v>
          </cell>
          <cell r="G534">
            <v>236885</v>
          </cell>
          <cell r="H534">
            <v>1655212000170</v>
          </cell>
          <cell r="I534" t="str">
            <v>SCANMETAL - INDUSTRIA, COMERCIO, IMPORTACAO E EXPORTACAO DE</v>
          </cell>
          <cell r="J534" t="str">
            <v>RUA CARLOS JOSE MICHELON</v>
          </cell>
          <cell r="K534">
            <v>1153</v>
          </cell>
          <cell r="M534" t="str">
            <v>JARDIM ANDARAI</v>
          </cell>
          <cell r="N534" t="str">
            <v>SAO PAULO</v>
          </cell>
          <cell r="O534" t="str">
            <v>SP</v>
          </cell>
          <cell r="Q534">
            <v>2166010</v>
          </cell>
          <cell r="R534">
            <v>170102220</v>
          </cell>
          <cell r="S534">
            <v>2</v>
          </cell>
          <cell r="T534">
            <v>2</v>
          </cell>
          <cell r="U534" t="str">
            <v>AntiFraude: Transações: 0 - Total: R$ 280,56 (Cobrança pelo mínimo mensal) (Período de apuração: 01/08/2026 à 31/08/2026) Vencimento: 26/09/2026 Brazilian Tax Information: Valor estimado dos tributos IBS e CBS, conforme disposto no art. 12 da Lei Complementar nº 214/2025 (Reforma Tributária sobre Consumo): R$2.86 (1%)</v>
          </cell>
          <cell r="V534">
            <v>286.29000000000002</v>
          </cell>
          <cell r="W534">
            <v>5.73</v>
          </cell>
          <cell r="X534">
            <v>0</v>
          </cell>
          <cell r="Y534">
            <v>1.86</v>
          </cell>
          <cell r="Z534">
            <v>8.59</v>
          </cell>
          <cell r="AA534">
            <v>2.86</v>
          </cell>
          <cell r="AB534">
            <v>286.29000000000002</v>
          </cell>
          <cell r="AC534">
            <v>0</v>
          </cell>
          <cell r="AD534">
            <v>0</v>
          </cell>
          <cell r="AE534" t="str">
            <v>Sim</v>
          </cell>
        </row>
        <row r="535">
          <cell r="F535">
            <v>122714</v>
          </cell>
          <cell r="G535">
            <v>236917</v>
          </cell>
          <cell r="H535">
            <v>1677137000148</v>
          </cell>
          <cell r="I535" t="str">
            <v>PIRULITO MODA MIUDA LTDA</v>
          </cell>
          <cell r="J535" t="str">
            <v>AVENIDA GOIAS</v>
          </cell>
          <cell r="K535" t="str">
            <v>388 A</v>
          </cell>
          <cell r="L535" t="str">
            <v>QUADRA273 LOTE 9 SAL</v>
          </cell>
          <cell r="M535" t="str">
            <v>CENTRO</v>
          </cell>
          <cell r="N535" t="str">
            <v>GOIANESIA</v>
          </cell>
          <cell r="O535" t="str">
            <v>GO</v>
          </cell>
          <cell r="Q535">
            <v>76380100</v>
          </cell>
          <cell r="R535">
            <v>170102220</v>
          </cell>
          <cell r="S535">
            <v>2</v>
          </cell>
          <cell r="T535">
            <v>2</v>
          </cell>
          <cell r="U535" t="str">
            <v>AntiFraude: Transações: 0 - Total: R$ 729,61 (Cobrança pelo mínimo mensal) (Período de apuração: 01/08/2026 à 31/08/2026) Vencimento: 26/09/2026 Brazilian Tax Information: Valor estimado dos tributos IBS e CBS, conforme disposto no art. 12 da Lei Complementar nº 214/2025 (Reforma Tributária sobre Consumo): R$7.45 (1%)</v>
          </cell>
          <cell r="V535">
            <v>744.5</v>
          </cell>
          <cell r="W535">
            <v>14.89</v>
          </cell>
          <cell r="X535">
            <v>11.17</v>
          </cell>
          <cell r="Y535">
            <v>0</v>
          </cell>
          <cell r="Z535">
            <v>0</v>
          </cell>
          <cell r="AA535">
            <v>0</v>
          </cell>
          <cell r="AB535">
            <v>744.5</v>
          </cell>
          <cell r="AC535">
            <v>0</v>
          </cell>
          <cell r="AD535">
            <v>0</v>
          </cell>
          <cell r="AE535" t="str">
            <v>Sim</v>
          </cell>
        </row>
        <row r="536">
          <cell r="F536">
            <v>122715</v>
          </cell>
          <cell r="G536">
            <v>236893</v>
          </cell>
          <cell r="H536">
            <v>5357722000111</v>
          </cell>
          <cell r="I536" t="str">
            <v>VIA VERDE CALCADOS LTDA</v>
          </cell>
          <cell r="J536" t="str">
            <v>RUA PREFEITO CHAGAS</v>
          </cell>
          <cell r="K536">
            <v>45</v>
          </cell>
          <cell r="M536" t="str">
            <v>CENTRO</v>
          </cell>
          <cell r="N536" t="str">
            <v>POCOS DE CALDAS</v>
          </cell>
          <cell r="O536" t="str">
            <v>MG</v>
          </cell>
          <cell r="Q536">
            <v>37701010</v>
          </cell>
          <cell r="R536">
            <v>170102220</v>
          </cell>
          <cell r="S536">
            <v>2</v>
          </cell>
          <cell r="T536">
            <v>2</v>
          </cell>
          <cell r="U536" t="str">
            <v>AntiFraude: Transações: 0 - Total: R$ 251,52 (Cobrança pelo mínimo mensal) (Período de apuração: 01/08/2026 à 31/08/2026) Vencimento: 26/09/2026 Brazilian Tax Information: Valor estimado dos tributos IBS e CBS, conforme disposto no art. 12 da Lei Complementar nº 214/2025 (Reforma Tributária sobre Consumo): R$2.57 (1%)</v>
          </cell>
          <cell r="V536">
            <v>256.64999999999998</v>
          </cell>
          <cell r="W536">
            <v>5.13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256.64999999999998</v>
          </cell>
          <cell r="AC536">
            <v>0</v>
          </cell>
          <cell r="AD536">
            <v>0</v>
          </cell>
          <cell r="AE536" t="str">
            <v>Sim</v>
          </cell>
        </row>
        <row r="537">
          <cell r="F537">
            <v>122716</v>
          </cell>
          <cell r="G537">
            <v>236875</v>
          </cell>
          <cell r="H537">
            <v>21153371000183</v>
          </cell>
          <cell r="I537" t="str">
            <v>PAPELLO SOLUCOES EM EMBALAGENS LTDA</v>
          </cell>
          <cell r="J537" t="str">
            <v>SETOR POLO DE DESENVOLVIMENTO JUSCELINO KUBITSCHEK TRECHO 1</v>
          </cell>
          <cell r="K537" t="str">
            <v>SN</v>
          </cell>
          <cell r="L537" t="str">
            <v>CONJ 09 LO TE 09/10</v>
          </cell>
          <cell r="M537" t="str">
            <v>SANTA MARIA</v>
          </cell>
          <cell r="N537" t="str">
            <v>BRASILIA</v>
          </cell>
          <cell r="O537" t="str">
            <v>DF</v>
          </cell>
          <cell r="Q537">
            <v>72549545</v>
          </cell>
          <cell r="R537">
            <v>170102220</v>
          </cell>
          <cell r="S537">
            <v>2</v>
          </cell>
          <cell r="T537">
            <v>2</v>
          </cell>
          <cell r="U537" t="str">
            <v>AntiFraude: Transações: 0 - Total: R$ 243,84 (Cobrança pelo mínimo mensal) (Período de apuração: 01/08/2026 à 31/08/2026) Vencimento: 26/09/2026 Brazilian Tax Information: Valor estimado dos tributos IBS e CBS, conforme disposto no art. 12 da Lei Complementar nº 214/2025 (Reforma Tributária sobre Consumo): R$2.49 (1%)</v>
          </cell>
          <cell r="V537">
            <v>248.82</v>
          </cell>
          <cell r="W537">
            <v>4.9800000000000004</v>
          </cell>
          <cell r="X537">
            <v>0</v>
          </cell>
          <cell r="Y537">
            <v>1.62</v>
          </cell>
          <cell r="Z537">
            <v>7.46</v>
          </cell>
          <cell r="AA537">
            <v>2.4900000000000002</v>
          </cell>
          <cell r="AB537">
            <v>248.82</v>
          </cell>
          <cell r="AC537">
            <v>0</v>
          </cell>
          <cell r="AD537">
            <v>0</v>
          </cell>
          <cell r="AE537" t="str">
            <v>Sim</v>
          </cell>
        </row>
        <row r="538">
          <cell r="F538">
            <v>122717</v>
          </cell>
          <cell r="G538">
            <v>236918</v>
          </cell>
          <cell r="H538">
            <v>40722590000180</v>
          </cell>
          <cell r="I538" t="str">
            <v>THE EXPRESS GROUP VIAGENS E TURISMO LTDA</v>
          </cell>
          <cell r="J538" t="str">
            <v>AVENIDA PAULISTA</v>
          </cell>
          <cell r="K538">
            <v>1337</v>
          </cell>
          <cell r="L538" t="str">
            <v>SALA 222</v>
          </cell>
          <cell r="M538" t="str">
            <v>BELA VISTA</v>
          </cell>
          <cell r="N538" t="str">
            <v>SAO PAULO</v>
          </cell>
          <cell r="O538" t="str">
            <v>SP</v>
          </cell>
          <cell r="Q538">
            <v>1311200</v>
          </cell>
          <cell r="R538">
            <v>170102220</v>
          </cell>
          <cell r="S538">
            <v>2</v>
          </cell>
          <cell r="T538">
            <v>2</v>
          </cell>
          <cell r="U538" t="str">
            <v>AntiFraude: Transações: 0 - Total: R$ 120,88 (Cobrança pelo mínimo mensal) (Período de apuração: 01/08/2026 à 31/08/2026) Vencimento: 26/09/2026 Brazilian Tax Information: Valor estimado dos tributos IBS e CBS, conforme disposto no art. 12 da Lei Complementar nº 214/2025 (Reforma Tributária sobre Consumo): R$1.23 (1%)</v>
          </cell>
          <cell r="V538">
            <v>123.35</v>
          </cell>
          <cell r="W538">
            <v>2.4700000000000002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123.35</v>
          </cell>
          <cell r="AC538">
            <v>0</v>
          </cell>
          <cell r="AD538">
            <v>0</v>
          </cell>
          <cell r="AE538" t="str">
            <v>Sim</v>
          </cell>
        </row>
        <row r="539">
          <cell r="F539">
            <v>122718</v>
          </cell>
          <cell r="G539">
            <v>236876</v>
          </cell>
          <cell r="H539">
            <v>7687928002006</v>
          </cell>
          <cell r="I539" t="str">
            <v>WISH S.A.</v>
          </cell>
          <cell r="J539" t="str">
            <v>RODOVIA LMG-800</v>
          </cell>
          <cell r="K539" t="str">
            <v>S/N</v>
          </cell>
          <cell r="L539" t="str">
            <v>AER TANCRE DO NEVES</v>
          </cell>
          <cell r="M539" t="str">
            <v>DISTRITO INDUSTRIAL GENESCO APARECIDO DE</v>
          </cell>
          <cell r="N539" t="str">
            <v>LAGOA SANTA</v>
          </cell>
          <cell r="O539" t="str">
            <v>MG</v>
          </cell>
          <cell r="Q539">
            <v>33240100</v>
          </cell>
          <cell r="R539">
            <v>170102220</v>
          </cell>
          <cell r="S539">
            <v>2</v>
          </cell>
          <cell r="T539">
            <v>2</v>
          </cell>
          <cell r="U539" t="str">
            <v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39">
            <v>726.72</v>
          </cell>
          <cell r="W539">
            <v>14.53</v>
          </cell>
          <cell r="X539">
            <v>10.9</v>
          </cell>
          <cell r="Y539">
            <v>4.72</v>
          </cell>
          <cell r="Z539">
            <v>21.8</v>
          </cell>
          <cell r="AA539">
            <v>7.27</v>
          </cell>
          <cell r="AB539">
            <v>726.72</v>
          </cell>
          <cell r="AC539">
            <v>0</v>
          </cell>
          <cell r="AD539">
            <v>0</v>
          </cell>
          <cell r="AE539" t="str">
            <v>Sim</v>
          </cell>
        </row>
        <row r="540">
          <cell r="F540">
            <v>122719</v>
          </cell>
          <cell r="G540">
            <v>236935</v>
          </cell>
          <cell r="H540">
            <v>19051774000170</v>
          </cell>
          <cell r="I540" t="str">
            <v>SMART CENTER COMERCIO DE MATERIAISDE CONSTRUCAO LTDA</v>
          </cell>
          <cell r="J540" t="str">
            <v>AVENIDA VISCONDE DE MAUA</v>
          </cell>
          <cell r="K540">
            <v>3460</v>
          </cell>
          <cell r="M540" t="str">
            <v>DONA LUIZA</v>
          </cell>
          <cell r="N540" t="str">
            <v>PONTA GROSSA</v>
          </cell>
          <cell r="O540" t="str">
            <v>PR</v>
          </cell>
          <cell r="Q540">
            <v>84043000</v>
          </cell>
          <cell r="R540">
            <v>170102220</v>
          </cell>
          <cell r="S540">
            <v>2</v>
          </cell>
          <cell r="T540">
            <v>2</v>
          </cell>
          <cell r="U540" t="str">
            <v>AntiFraude: Transações: 0 - Total: R$ 148,49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540">
            <v>151.52000000000001</v>
          </cell>
          <cell r="W540">
            <v>3.03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151.52000000000001</v>
          </cell>
          <cell r="AC540">
            <v>0</v>
          </cell>
          <cell r="AD540">
            <v>0</v>
          </cell>
          <cell r="AE540" t="str">
            <v>Sim</v>
          </cell>
        </row>
        <row r="541">
          <cell r="F541">
            <v>122720</v>
          </cell>
          <cell r="G541">
            <v>236924</v>
          </cell>
          <cell r="H541">
            <v>26011011000160</v>
          </cell>
          <cell r="I541" t="str">
            <v>SAUDAVEL TO BE COMERCIO DE PRODUTOS ALIMENTICIOS LTDA.</v>
          </cell>
          <cell r="J541" t="str">
            <v>RUA JACI</v>
          </cell>
          <cell r="K541">
            <v>174</v>
          </cell>
          <cell r="M541" t="str">
            <v>CHACARA INGLESA</v>
          </cell>
          <cell r="N541" t="str">
            <v>SAO PAULO</v>
          </cell>
          <cell r="O541" t="str">
            <v>SP</v>
          </cell>
          <cell r="Q541">
            <v>4140080</v>
          </cell>
          <cell r="R541">
            <v>170102220</v>
          </cell>
          <cell r="S541">
            <v>2</v>
          </cell>
          <cell r="T541">
            <v>2</v>
          </cell>
          <cell r="U541" t="str">
            <v>AntiFraude: Transações: 0 - Total: R$ 138,59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v>
          </cell>
          <cell r="V541">
            <v>141.41999999999999</v>
          </cell>
          <cell r="W541">
            <v>2.83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141.41999999999999</v>
          </cell>
          <cell r="AC541">
            <v>0</v>
          </cell>
          <cell r="AD541">
            <v>0</v>
          </cell>
          <cell r="AE541" t="str">
            <v>Sim</v>
          </cell>
        </row>
        <row r="542">
          <cell r="F542">
            <v>122721</v>
          </cell>
          <cell r="G542">
            <v>236929</v>
          </cell>
          <cell r="H542">
            <v>14043391000136</v>
          </cell>
          <cell r="I542" t="str">
            <v>TOPPS ESPORTES E ENTRETENIMENTO DOBRASIL LTDA</v>
          </cell>
          <cell r="J542" t="str">
            <v>AVENIDA ENG LUIZ CARLOS BERRINI</v>
          </cell>
          <cell r="K542">
            <v>105</v>
          </cell>
          <cell r="L542" t="str">
            <v>ANDAR 15 C ONJ 1508</v>
          </cell>
          <cell r="M542" t="str">
            <v>CIDADE MONCOES</v>
          </cell>
          <cell r="N542" t="str">
            <v>SAO PAULO</v>
          </cell>
          <cell r="O542" t="str">
            <v>SP</v>
          </cell>
          <cell r="Q542">
            <v>4571010</v>
          </cell>
          <cell r="R542">
            <v>170102220</v>
          </cell>
          <cell r="S542">
            <v>2</v>
          </cell>
          <cell r="T542">
            <v>2</v>
          </cell>
          <cell r="U542" t="str">
            <v>AntiFraude: Transações: 0 -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v>
          </cell>
          <cell r="V542">
            <v>158.1</v>
          </cell>
          <cell r="W542">
            <v>3.16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158.1</v>
          </cell>
          <cell r="AC542">
            <v>0</v>
          </cell>
          <cell r="AD542">
            <v>0</v>
          </cell>
          <cell r="AE542" t="str">
            <v>Sim</v>
          </cell>
        </row>
        <row r="543">
          <cell r="F543">
            <v>122722</v>
          </cell>
          <cell r="G543">
            <v>236946</v>
          </cell>
          <cell r="H543">
            <v>33579376000151</v>
          </cell>
          <cell r="I543" t="str">
            <v>SOCIEDADE BIBLICA DO BRASIL</v>
          </cell>
          <cell r="J543" t="str">
            <v>AVENIDA CECI</v>
          </cell>
          <cell r="K543">
            <v>706</v>
          </cell>
          <cell r="L543" t="str">
            <v>LOTE 22A</v>
          </cell>
          <cell r="M543" t="str">
            <v>TAMBORE</v>
          </cell>
          <cell r="N543" t="str">
            <v>BARUERI</v>
          </cell>
          <cell r="O543" t="str">
            <v>SP</v>
          </cell>
          <cell r="Q543">
            <v>6460120</v>
          </cell>
          <cell r="R543">
            <v>170102220</v>
          </cell>
          <cell r="S543">
            <v>2</v>
          </cell>
          <cell r="T543">
            <v>2</v>
          </cell>
          <cell r="U543" t="str">
            <v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v>
          </cell>
          <cell r="V543">
            <v>133.31</v>
          </cell>
          <cell r="W543">
            <v>2.67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133.31</v>
          </cell>
          <cell r="AC543">
            <v>0</v>
          </cell>
          <cell r="AD543">
            <v>0</v>
          </cell>
          <cell r="AE543" t="str">
            <v>Sim</v>
          </cell>
        </row>
        <row r="544">
          <cell r="F544">
            <v>122723</v>
          </cell>
          <cell r="G544">
            <v>236957</v>
          </cell>
          <cell r="H544">
            <v>3025155000170</v>
          </cell>
          <cell r="I544" t="str">
            <v>REFRIAL DISTRIBUIDORA COMERCIAL DEMAQUINAS E PECAS LTDA.,</v>
          </cell>
          <cell r="J544" t="str">
            <v>RUA LIRIO DE LIMA</v>
          </cell>
          <cell r="K544">
            <v>11</v>
          </cell>
          <cell r="L544" t="str">
            <v>LT-11 QD-A 17 LT PQ</v>
          </cell>
          <cell r="M544" t="str">
            <v>NOVO ALEIXO</v>
          </cell>
          <cell r="N544" t="str">
            <v>MANAUS</v>
          </cell>
          <cell r="O544" t="str">
            <v>AM</v>
          </cell>
          <cell r="Q544">
            <v>69098367</v>
          </cell>
          <cell r="R544">
            <v>170102220</v>
          </cell>
          <cell r="S544">
            <v>2</v>
          </cell>
          <cell r="T544">
            <v>2</v>
          </cell>
          <cell r="U544" t="str">
            <v>AntiFraude: Transações: 0 - Total: R$ 146,01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v>
          </cell>
          <cell r="V544">
            <v>148.99</v>
          </cell>
          <cell r="W544">
            <v>2.98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148.99</v>
          </cell>
          <cell r="AC544">
            <v>0</v>
          </cell>
          <cell r="AD544">
            <v>0</v>
          </cell>
          <cell r="AE544" t="str">
            <v>Sim</v>
          </cell>
        </row>
        <row r="545">
          <cell r="F545">
            <v>122724</v>
          </cell>
          <cell r="G545">
            <v>236965</v>
          </cell>
          <cell r="H545">
            <v>10250540000187</v>
          </cell>
          <cell r="I545" t="str">
            <v>REDIT COMERCIO E SERVICOS LTDA</v>
          </cell>
          <cell r="J545" t="str">
            <v>AVENIDA ENGENHEIRO LUIS CARLOS BERRINI</v>
          </cell>
          <cell r="K545">
            <v>1511</v>
          </cell>
          <cell r="L545" t="str">
            <v>CONJ 162 S ALA A</v>
          </cell>
          <cell r="M545" t="str">
            <v>BROOKLIN NOVO</v>
          </cell>
          <cell r="N545" t="str">
            <v>SAO PAULO</v>
          </cell>
          <cell r="O545" t="str">
            <v>SP</v>
          </cell>
          <cell r="Q545">
            <v>4571011</v>
          </cell>
          <cell r="R545">
            <v>170102220</v>
          </cell>
          <cell r="S545">
            <v>2</v>
          </cell>
          <cell r="T545">
            <v>2</v>
          </cell>
          <cell r="U545" t="str">
            <v>AntiFraude: Transações: 0 - Total: R$ 0,01 (Cobrança pelo mínimo mensal) Analista de Risco: R$ 4.316,45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545">
            <v>4404.55</v>
          </cell>
          <cell r="W545">
            <v>88.09</v>
          </cell>
          <cell r="X545">
            <v>66.069999999999993</v>
          </cell>
          <cell r="Y545">
            <v>28.63</v>
          </cell>
          <cell r="Z545">
            <v>132.13999999999999</v>
          </cell>
          <cell r="AA545">
            <v>44.05</v>
          </cell>
          <cell r="AB545">
            <v>4404.55</v>
          </cell>
          <cell r="AC545">
            <v>0</v>
          </cell>
          <cell r="AD545">
            <v>0</v>
          </cell>
          <cell r="AE545" t="str">
            <v>Sim</v>
          </cell>
        </row>
        <row r="546">
          <cell r="F546">
            <v>122725</v>
          </cell>
          <cell r="G546">
            <v>236943</v>
          </cell>
          <cell r="H546">
            <v>28990075000186</v>
          </cell>
          <cell r="I546" t="str">
            <v>PARDIS - PARDINI DISTRIBUIDORA LTDA</v>
          </cell>
          <cell r="J546" t="str">
            <v>AVENIDA DAS NACOES</v>
          </cell>
          <cell r="K546">
            <v>2448</v>
          </cell>
          <cell r="L546" t="str">
            <v>BLOCO B AN EXO 1</v>
          </cell>
          <cell r="M546" t="str">
            <v>DISTRITO INDUSTRIAL</v>
          </cell>
          <cell r="N546" t="str">
            <v>VESPASIANO</v>
          </cell>
          <cell r="O546" t="str">
            <v>MG</v>
          </cell>
          <cell r="Q546">
            <v>33201003</v>
          </cell>
          <cell r="R546">
            <v>170102220</v>
          </cell>
          <cell r="S546">
            <v>2</v>
          </cell>
          <cell r="T546">
            <v>2</v>
          </cell>
          <cell r="U546" t="str">
            <v>AntiFraude: Transações: 0 -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v>
          </cell>
          <cell r="V546">
            <v>154.13</v>
          </cell>
          <cell r="W546">
            <v>3.08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154.13</v>
          </cell>
          <cell r="AC546">
            <v>0</v>
          </cell>
          <cell r="AD546">
            <v>0</v>
          </cell>
          <cell r="AE546" t="str">
            <v>Sim</v>
          </cell>
        </row>
        <row r="547">
          <cell r="F547">
            <v>122726</v>
          </cell>
          <cell r="G547">
            <v>236936</v>
          </cell>
          <cell r="H547">
            <v>5008876000106</v>
          </cell>
          <cell r="I547" t="str">
            <v>VIAGENS PROMO TURISMO LTDA</v>
          </cell>
          <cell r="J547" t="str">
            <v>RUA JOSE VERSOLATO</v>
          </cell>
          <cell r="K547">
            <v>111</v>
          </cell>
          <cell r="L547" t="str">
            <v>SALA 1108 BLOCO B</v>
          </cell>
          <cell r="M547" t="str">
            <v>CENTRO</v>
          </cell>
          <cell r="N547" t="str">
            <v>SAO BERNARDO DO CAMPO</v>
          </cell>
          <cell r="O547" t="str">
            <v>SP</v>
          </cell>
          <cell r="Q547">
            <v>9750730</v>
          </cell>
          <cell r="R547">
            <v>170102220</v>
          </cell>
          <cell r="S547">
            <v>2</v>
          </cell>
          <cell r="T547">
            <v>2</v>
          </cell>
          <cell r="U547" t="str">
            <v>AntiFraude: Transações: 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v>
          </cell>
          <cell r="V547">
            <v>152.66</v>
          </cell>
          <cell r="W547">
            <v>3.05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152.66</v>
          </cell>
          <cell r="AC547">
            <v>0</v>
          </cell>
          <cell r="AD547">
            <v>0</v>
          </cell>
          <cell r="AE547" t="str">
            <v>Sim</v>
          </cell>
        </row>
        <row r="548">
          <cell r="F548">
            <v>122727</v>
          </cell>
          <cell r="G548">
            <v>236945</v>
          </cell>
          <cell r="H548">
            <v>36152916000376</v>
          </cell>
          <cell r="I548" t="str">
            <v>SGA VEICULOS E PECAS S.A.</v>
          </cell>
          <cell r="J548" t="str">
            <v>ESTRADA FRANCISCO DA CRUZ NUNES</v>
          </cell>
          <cell r="K548">
            <v>2800</v>
          </cell>
          <cell r="L548" t="str">
            <v>CONFLUENCI A COM A E</v>
          </cell>
          <cell r="M548" t="str">
            <v>PIRATININGA</v>
          </cell>
          <cell r="N548" t="str">
            <v>NITEROI</v>
          </cell>
          <cell r="O548" t="str">
            <v>RJ</v>
          </cell>
          <cell r="Q548">
            <v>24350310</v>
          </cell>
          <cell r="R548">
            <v>170102220</v>
          </cell>
          <cell r="S548">
            <v>2</v>
          </cell>
          <cell r="T548">
            <v>2</v>
          </cell>
          <cell r="U548" t="str">
            <v>AntiFraude: Transações: 128 - Total: R$ 511,22 (Cobrança pelo mínimo mensal) (Período de apuração: 01/08/2026 à 31/08/2026) Vencimento: 26/09/2026 Brazilian Tax Information: Valor estimado dos tributos IBS e CBS, conforme disposto no art. 12 da Lei Complementar nº 214/2025 (Reforma Tributária sobre Consumo): R$5.22 (1%)</v>
          </cell>
          <cell r="V548">
            <v>521.65</v>
          </cell>
          <cell r="W548">
            <v>10.43</v>
          </cell>
          <cell r="X548">
            <v>0</v>
          </cell>
          <cell r="Y548">
            <v>3.39</v>
          </cell>
          <cell r="Z548">
            <v>15.65</v>
          </cell>
          <cell r="AA548">
            <v>5.22</v>
          </cell>
          <cell r="AB548">
            <v>521.65</v>
          </cell>
          <cell r="AC548">
            <v>0</v>
          </cell>
          <cell r="AD548">
            <v>0</v>
          </cell>
          <cell r="AE548" t="str">
            <v>Sim</v>
          </cell>
        </row>
        <row r="549">
          <cell r="F549">
            <v>122728</v>
          </cell>
          <cell r="G549">
            <v>236956</v>
          </cell>
          <cell r="H549">
            <v>7687928000305</v>
          </cell>
          <cell r="I549" t="str">
            <v>WISH S.A.</v>
          </cell>
          <cell r="J549" t="str">
            <v>RUA MARUPIARA</v>
          </cell>
          <cell r="K549" t="str">
            <v>S/N</v>
          </cell>
          <cell r="L549" t="str">
            <v>HOTEL MARU PIARA</v>
          </cell>
          <cell r="M549" t="str">
            <v>CUPE</v>
          </cell>
          <cell r="N549" t="str">
            <v>IPOJUCA</v>
          </cell>
          <cell r="O549" t="str">
            <v>PE</v>
          </cell>
          <cell r="Q549">
            <v>55593292</v>
          </cell>
          <cell r="R549">
            <v>170102220</v>
          </cell>
          <cell r="S549">
            <v>2</v>
          </cell>
          <cell r="T549">
            <v>2</v>
          </cell>
          <cell r="U549" t="str">
            <v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49">
            <v>726.72</v>
          </cell>
          <cell r="W549">
            <v>14.53</v>
          </cell>
          <cell r="X549">
            <v>10.9</v>
          </cell>
          <cell r="Y549">
            <v>4.72</v>
          </cell>
          <cell r="Z549">
            <v>21.8</v>
          </cell>
          <cell r="AA549">
            <v>7.27</v>
          </cell>
          <cell r="AB549">
            <v>726.72</v>
          </cell>
          <cell r="AC549">
            <v>0</v>
          </cell>
          <cell r="AD549">
            <v>0</v>
          </cell>
          <cell r="AE549" t="str">
            <v>Sim</v>
          </cell>
        </row>
        <row r="550">
          <cell r="F550">
            <v>122729</v>
          </cell>
          <cell r="G550">
            <v>236934</v>
          </cell>
          <cell r="H550">
            <v>7687928000801</v>
          </cell>
          <cell r="I550" t="str">
            <v>WISH S.A.</v>
          </cell>
          <cell r="J550" t="str">
            <v>AVENIDA DAS CATARATAS</v>
          </cell>
          <cell r="K550">
            <v>6845</v>
          </cell>
          <cell r="M550" t="str">
            <v>TAMANDOA</v>
          </cell>
          <cell r="N550" t="str">
            <v>FOZ DO IGUACU</v>
          </cell>
          <cell r="O550" t="str">
            <v>PR</v>
          </cell>
          <cell r="Q550">
            <v>85853000</v>
          </cell>
          <cell r="R550">
            <v>170102220</v>
          </cell>
          <cell r="S550">
            <v>2</v>
          </cell>
          <cell r="T550">
            <v>2</v>
          </cell>
          <cell r="U550" t="str">
            <v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50">
            <v>726.72</v>
          </cell>
          <cell r="W550">
            <v>14.53</v>
          </cell>
          <cell r="X550">
            <v>10.9</v>
          </cell>
          <cell r="Y550">
            <v>4.72</v>
          </cell>
          <cell r="Z550">
            <v>21.8</v>
          </cell>
          <cell r="AA550">
            <v>7.27</v>
          </cell>
          <cell r="AB550">
            <v>726.72</v>
          </cell>
          <cell r="AC550">
            <v>0</v>
          </cell>
          <cell r="AD550">
            <v>0</v>
          </cell>
          <cell r="AE550" t="str">
            <v>Sim</v>
          </cell>
        </row>
        <row r="551">
          <cell r="F551">
            <v>122730</v>
          </cell>
          <cell r="G551">
            <v>236930</v>
          </cell>
          <cell r="H551">
            <v>7687928001107</v>
          </cell>
          <cell r="I551" t="str">
            <v>WISH S.A.</v>
          </cell>
          <cell r="J551" t="str">
            <v>AVENIDA SETE DE SETEMBRO</v>
          </cell>
          <cell r="K551">
            <v>1537</v>
          </cell>
          <cell r="M551" t="str">
            <v>CAMPO GRANDE</v>
          </cell>
          <cell r="N551" t="str">
            <v>SALVADOR</v>
          </cell>
          <cell r="O551" t="str">
            <v>BA</v>
          </cell>
          <cell r="Q551">
            <v>40080001</v>
          </cell>
          <cell r="R551">
            <v>170102220</v>
          </cell>
          <cell r="S551">
            <v>2</v>
          </cell>
          <cell r="T551">
            <v>2</v>
          </cell>
          <cell r="U551" t="str">
            <v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51">
            <v>726.72</v>
          </cell>
          <cell r="W551">
            <v>14.53</v>
          </cell>
          <cell r="X551">
            <v>10.9</v>
          </cell>
          <cell r="Y551">
            <v>4.72</v>
          </cell>
          <cell r="Z551">
            <v>21.8</v>
          </cell>
          <cell r="AA551">
            <v>7.27</v>
          </cell>
          <cell r="AB551">
            <v>726.72</v>
          </cell>
          <cell r="AC551">
            <v>0</v>
          </cell>
          <cell r="AD551">
            <v>0</v>
          </cell>
          <cell r="AE551" t="str">
            <v>Sim</v>
          </cell>
        </row>
        <row r="552">
          <cell r="F552">
            <v>122731</v>
          </cell>
          <cell r="G552">
            <v>236942</v>
          </cell>
          <cell r="H552">
            <v>7687928002936</v>
          </cell>
          <cell r="I552" t="str">
            <v>WISH S.A.</v>
          </cell>
          <cell r="J552" t="str">
            <v>RUA JOAO PETRY</v>
          </cell>
          <cell r="K552">
            <v>444</v>
          </cell>
          <cell r="M552" t="str">
            <v>CENTRO</v>
          </cell>
          <cell r="N552" t="str">
            <v>GRAMADO</v>
          </cell>
          <cell r="O552" t="str">
            <v>RS</v>
          </cell>
          <cell r="Q552">
            <v>95670180</v>
          </cell>
          <cell r="R552">
            <v>170102220</v>
          </cell>
          <cell r="S552">
            <v>2</v>
          </cell>
          <cell r="T552">
            <v>2</v>
          </cell>
          <cell r="U552" t="str">
            <v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v>
          </cell>
          <cell r="V552">
            <v>726.72</v>
          </cell>
          <cell r="W552">
            <v>14.53</v>
          </cell>
          <cell r="X552">
            <v>10.9</v>
          </cell>
          <cell r="Y552">
            <v>4.72</v>
          </cell>
          <cell r="Z552">
            <v>21.8</v>
          </cell>
          <cell r="AA552">
            <v>7.27</v>
          </cell>
          <cell r="AB552">
            <v>726.72</v>
          </cell>
          <cell r="AC552">
            <v>0</v>
          </cell>
          <cell r="AD552">
            <v>0</v>
          </cell>
          <cell r="AE552" t="str">
            <v>Sim</v>
          </cell>
        </row>
        <row r="553">
          <cell r="F553">
            <v>122732</v>
          </cell>
          <cell r="G553">
            <v>236939</v>
          </cell>
          <cell r="H553">
            <v>14037664000130</v>
          </cell>
          <cell r="I553" t="str">
            <v>UNINTER INFORMATICA S/A</v>
          </cell>
          <cell r="J553" t="str">
            <v>RUA CATARINA MARGARIDA LUVIZOTO GORDA 485</v>
          </cell>
          <cell r="K553">
            <v>120</v>
          </cell>
          <cell r="M553" t="str">
            <v>MOSSUNGUE</v>
          </cell>
          <cell r="N553" t="str">
            <v>CURITIBA</v>
          </cell>
          <cell r="O553" t="str">
            <v>PR</v>
          </cell>
          <cell r="Q553">
            <v>81200900</v>
          </cell>
          <cell r="R553">
            <v>170102220</v>
          </cell>
          <cell r="S553">
            <v>2</v>
          </cell>
          <cell r="T553">
            <v>2</v>
          </cell>
          <cell r="U553" t="str">
            <v>AntiFraude: Transações: 0 - Total: R$ 259,20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v>
          </cell>
          <cell r="V553">
            <v>264.49</v>
          </cell>
          <cell r="W553">
            <v>5.29</v>
          </cell>
          <cell r="X553">
            <v>0</v>
          </cell>
          <cell r="Y553">
            <v>1.72</v>
          </cell>
          <cell r="Z553">
            <v>7.93</v>
          </cell>
          <cell r="AA553">
            <v>2.64</v>
          </cell>
          <cell r="AB553">
            <v>264.49</v>
          </cell>
          <cell r="AC553">
            <v>0</v>
          </cell>
          <cell r="AD553">
            <v>0</v>
          </cell>
          <cell r="AE553" t="str">
            <v>Sim</v>
          </cell>
        </row>
        <row r="554">
          <cell r="F554">
            <v>122733</v>
          </cell>
          <cell r="G554">
            <v>236950</v>
          </cell>
          <cell r="H554">
            <v>13759045000196</v>
          </cell>
          <cell r="I554" t="str">
            <v>VILA ZAIRA  HORTIFRUTI LTDA</v>
          </cell>
          <cell r="J554" t="str">
            <v>AVENIDA ONZE DE AGOSTO</v>
          </cell>
          <cell r="K554">
            <v>256</v>
          </cell>
          <cell r="M554" t="str">
            <v>JARDIM ZAIRA</v>
          </cell>
          <cell r="N554" t="str">
            <v>GUARULHOS</v>
          </cell>
          <cell r="O554" t="str">
            <v>SP</v>
          </cell>
          <cell r="Q554">
            <v>7090250</v>
          </cell>
          <cell r="R554">
            <v>170102220</v>
          </cell>
          <cell r="S554">
            <v>2</v>
          </cell>
          <cell r="T554">
            <v>2</v>
          </cell>
          <cell r="U554" t="str">
            <v>AntiFraude: Transações: 0 - Total: R$ 127,30 (Cobrança pelo mínimo mensal) (Período de apuração: 01/08/2026 à 31/08/2026) Vencimento: 26/09/2026 Brazilian Tax Information: Valor estimado dos tributos IBS e CBS, conforme disposto no art. 12 da Lei Complementar nº 214/2025 (Reforma Tributária sobre Consumo): R$1.30 (1%)</v>
          </cell>
          <cell r="V554">
            <v>129.9</v>
          </cell>
          <cell r="W554">
            <v>2.6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129.9</v>
          </cell>
          <cell r="AC554">
            <v>0</v>
          </cell>
          <cell r="AD554">
            <v>0</v>
          </cell>
          <cell r="AE554" t="str">
            <v>Sim</v>
          </cell>
        </row>
        <row r="555">
          <cell r="F555">
            <v>122734</v>
          </cell>
          <cell r="G555">
            <v>236931</v>
          </cell>
          <cell r="H555">
            <v>3870341000297</v>
          </cell>
          <cell r="I555" t="str">
            <v>SANTA EMILIA MOTORS-COMERCIAL DE VEICULOS E PECAS LTDA</v>
          </cell>
          <cell r="J555" t="str">
            <v>AVENIDA CHAMPAGNAT</v>
          </cell>
          <cell r="K555">
            <v>2339</v>
          </cell>
          <cell r="L555" t="str">
            <v>: VILA IND USTRIAL</v>
          </cell>
          <cell r="M555" t="str">
            <v>JARDIM VENEZA</v>
          </cell>
          <cell r="N555" t="str">
            <v>FRANCA</v>
          </cell>
          <cell r="O555" t="str">
            <v>SP</v>
          </cell>
          <cell r="Q555">
            <v>14403050</v>
          </cell>
          <cell r="R555">
            <v>170102220</v>
          </cell>
          <cell r="S555">
            <v>2</v>
          </cell>
          <cell r="T555">
            <v>2</v>
          </cell>
          <cell r="U555" t="str">
            <v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555">
            <v>528.97</v>
          </cell>
          <cell r="W555">
            <v>10.58</v>
          </cell>
          <cell r="X555">
            <v>0</v>
          </cell>
          <cell r="Y555">
            <v>3.44</v>
          </cell>
          <cell r="Z555">
            <v>15.87</v>
          </cell>
          <cell r="AA555">
            <v>5.29</v>
          </cell>
          <cell r="AB555">
            <v>528.97</v>
          </cell>
          <cell r="AC555">
            <v>0</v>
          </cell>
          <cell r="AD555">
            <v>0</v>
          </cell>
          <cell r="AE555" t="str">
            <v>Sim</v>
          </cell>
        </row>
        <row r="556">
          <cell r="F556">
            <v>122735</v>
          </cell>
          <cell r="G556">
            <v>236967</v>
          </cell>
          <cell r="H556">
            <v>64819246000849</v>
          </cell>
          <cell r="I556" t="str">
            <v>PRATIC LOJA DE CONVENIENCIA LTDA.</v>
          </cell>
          <cell r="J556" t="str">
            <v>RUA MARTINHO GONCALVES</v>
          </cell>
          <cell r="K556">
            <v>2466</v>
          </cell>
          <cell r="L556" t="str">
            <v>ANEXO 2452</v>
          </cell>
          <cell r="M556" t="str">
            <v>VILA NOSSA SENHORA DA PAZ</v>
          </cell>
          <cell r="N556" t="str">
            <v>SAO JOSE DO RIO PRETO</v>
          </cell>
          <cell r="O556" t="str">
            <v>SP</v>
          </cell>
          <cell r="Q556">
            <v>15025160</v>
          </cell>
          <cell r="R556">
            <v>170102220</v>
          </cell>
          <cell r="S556">
            <v>2</v>
          </cell>
          <cell r="T556">
            <v>2</v>
          </cell>
          <cell r="U556" t="str">
            <v>AntiFraude: Transações: 0 - Total: R$ 126,46 (Cobrança pelo mínimo mensal) (Período de apuração: 01/08/2026 à 31/08/2026) Vencimento: 26/09/2026 Brazilian Tax Information: Valor estimado dos tributos IBS e CBS, conforme disposto no art. 12 da Lei Complementar nº 214/2025 (Reforma Tributária sobre Consumo): R$1.29 (1%)</v>
          </cell>
          <cell r="V556">
            <v>129.04</v>
          </cell>
          <cell r="W556">
            <v>2.58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129.04</v>
          </cell>
          <cell r="AC556">
            <v>0</v>
          </cell>
          <cell r="AD556">
            <v>0</v>
          </cell>
          <cell r="AE556" t="str">
            <v>Sim</v>
          </cell>
        </row>
        <row r="557">
          <cell r="F557">
            <v>122736</v>
          </cell>
          <cell r="G557">
            <v>236923</v>
          </cell>
          <cell r="H557">
            <v>73073165000167</v>
          </cell>
          <cell r="I557" t="str">
            <v>SUPER MERCADO TIBURCIO DE SOUZA LTDA</v>
          </cell>
          <cell r="J557" t="str">
            <v>RUA TIBURCIO DE SOUZA</v>
          </cell>
          <cell r="K557">
            <v>1114</v>
          </cell>
          <cell r="M557" t="str">
            <v>ITAIM PAULISTA</v>
          </cell>
          <cell r="N557" t="str">
            <v>SAO PAULO</v>
          </cell>
          <cell r="O557" t="str">
            <v>SP</v>
          </cell>
          <cell r="Q557">
            <v>8140000</v>
          </cell>
          <cell r="R557">
            <v>170102220</v>
          </cell>
          <cell r="S557">
            <v>2</v>
          </cell>
          <cell r="T557">
            <v>2</v>
          </cell>
          <cell r="U557" t="str">
            <v>AntiFraude: Transações: 0 - Total: R$ 147,89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R$1.51 (1%)</v>
          </cell>
          <cell r="V557">
            <v>150.91</v>
          </cell>
          <cell r="W557">
            <v>3.02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150.91</v>
          </cell>
          <cell r="AC557">
            <v>0</v>
          </cell>
          <cell r="AD557">
            <v>0</v>
          </cell>
          <cell r="AE557" t="str">
            <v>Sim</v>
          </cell>
        </row>
        <row r="558">
          <cell r="F558">
            <v>122737</v>
          </cell>
          <cell r="G558">
            <v>236933</v>
          </cell>
          <cell r="H558">
            <v>32294680000190</v>
          </cell>
          <cell r="I558" t="str">
            <v>SMR PARTICIPACOES E INVESTIMENTOS S.A</v>
          </cell>
          <cell r="J558" t="str">
            <v>ALAMEDA DOS JURUPIS</v>
          </cell>
          <cell r="K558">
            <v>577</v>
          </cell>
          <cell r="L558" t="str">
            <v>CONJ 131 1 32 141 14</v>
          </cell>
          <cell r="M558" t="str">
            <v>INDIANOPOLIS</v>
          </cell>
          <cell r="N558" t="str">
            <v>SAO PAULO</v>
          </cell>
          <cell r="O558" t="str">
            <v>SP</v>
          </cell>
          <cell r="Q558">
            <v>4088001</v>
          </cell>
          <cell r="R558">
            <v>170102220</v>
          </cell>
          <cell r="S558">
            <v>2</v>
          </cell>
          <cell r="T558">
            <v>2</v>
          </cell>
          <cell r="U558" t="str">
            <v>AntiFraude: Transações: 0 - Total: R$ 0,01 (Cobrança pelo mínimo mensal) Analista de Risco: R$ 8.498,99 (Período de apuração: 01/08/2026 à 31/08/2026) Vencimento: 26/09/2026 Brazilian Tax Information: Valor estimado dos tributos IBS e CBS, conforme disposto no art. 12 da Lei Complementar nº 214/2025 (Reforma Tributária sobre Consumo): R$0.00 (1%)</v>
          </cell>
          <cell r="V558">
            <v>8672.4500000000007</v>
          </cell>
          <cell r="W558">
            <v>173.45</v>
          </cell>
          <cell r="X558">
            <v>130.09</v>
          </cell>
          <cell r="Y558">
            <v>56.37</v>
          </cell>
          <cell r="Z558">
            <v>260.17</v>
          </cell>
          <cell r="AA558">
            <v>86.72</v>
          </cell>
          <cell r="AB558">
            <v>8672.4500000000007</v>
          </cell>
          <cell r="AC558">
            <v>0</v>
          </cell>
          <cell r="AD558">
            <v>0</v>
          </cell>
          <cell r="AE558" t="str">
            <v>Sim</v>
          </cell>
        </row>
        <row r="559">
          <cell r="F559">
            <v>122738</v>
          </cell>
          <cell r="G559">
            <v>236999</v>
          </cell>
          <cell r="H559">
            <v>35820448000136</v>
          </cell>
          <cell r="I559" t="str">
            <v>WHITE MARTINS GASES INDUSTRIAIS LTDA</v>
          </cell>
          <cell r="J559" t="str">
            <v>AVENIDA DAS AMERICAS</v>
          </cell>
          <cell r="K559">
            <v>4200</v>
          </cell>
          <cell r="L559" t="str">
            <v>BLC 3 SAL 101 201 30</v>
          </cell>
          <cell r="M559" t="str">
            <v>BARRA DA TIJUCA</v>
          </cell>
          <cell r="N559" t="str">
            <v>RIO DE JANEIRO</v>
          </cell>
          <cell r="O559" t="str">
            <v>RJ</v>
          </cell>
          <cell r="Q559">
            <v>22640907</v>
          </cell>
          <cell r="R559">
            <v>170102220</v>
          </cell>
          <cell r="S559">
            <v>2</v>
          </cell>
          <cell r="T559">
            <v>2</v>
          </cell>
          <cell r="U559" t="str">
            <v>AntiFraude: Transações: 0 - Total: R$ 707,68 (Cobrança pelo mínimo mensal) Analista de Risco: R$ 4.365,92 (Período de apuração: 01/08/2026 à 31/08/2026) Vencimento: 11/10/2026 Brazilian Tax Information: Valor estimado dos tributos IBS e CBS, conforme disposto no art. 12 da Lei Complementar nº 214/2025 (Reforma Tributária sobre Consumo): R$7.22 (1%)</v>
          </cell>
          <cell r="V559">
            <v>5177.1400000000003</v>
          </cell>
          <cell r="W559">
            <v>103.54</v>
          </cell>
          <cell r="X559">
            <v>77.66</v>
          </cell>
          <cell r="Y559">
            <v>33.65</v>
          </cell>
          <cell r="Z559">
            <v>155.31</v>
          </cell>
          <cell r="AA559">
            <v>51.77</v>
          </cell>
          <cell r="AB559">
            <v>5177.1400000000003</v>
          </cell>
          <cell r="AC559">
            <v>0</v>
          </cell>
          <cell r="AD559">
            <v>0</v>
          </cell>
          <cell r="AE559" t="str">
            <v>Sim</v>
          </cell>
        </row>
        <row r="560">
          <cell r="F560">
            <v>122739</v>
          </cell>
          <cell r="G560">
            <v>236982</v>
          </cell>
          <cell r="H560">
            <v>61151759000160</v>
          </cell>
          <cell r="I560" t="str">
            <v>NOVAK &amp; GOUVEIA LTDA</v>
          </cell>
          <cell r="J560" t="str">
            <v>RUA PRECILIA RODRIGUES</v>
          </cell>
          <cell r="K560">
            <v>163</v>
          </cell>
          <cell r="M560" t="str">
            <v>PIQUERI</v>
          </cell>
          <cell r="N560" t="str">
            <v>SAO PAULO</v>
          </cell>
          <cell r="O560" t="str">
            <v>SP</v>
          </cell>
          <cell r="Q560">
            <v>2914010</v>
          </cell>
          <cell r="R560">
            <v>170102220</v>
          </cell>
          <cell r="S560">
            <v>2</v>
          </cell>
          <cell r="T560">
            <v>2</v>
          </cell>
          <cell r="U560" t="str">
            <v>AntiFraude: Transações: 0 - Total: R$ 148,78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560">
            <v>151.82</v>
          </cell>
          <cell r="W560">
            <v>3.04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151.82</v>
          </cell>
          <cell r="AC560">
            <v>0</v>
          </cell>
          <cell r="AD560">
            <v>0</v>
          </cell>
          <cell r="AE560" t="str">
            <v>Sim</v>
          </cell>
        </row>
        <row r="561">
          <cell r="F561">
            <v>122740</v>
          </cell>
          <cell r="G561">
            <v>236985</v>
          </cell>
          <cell r="H561">
            <v>2196466000130</v>
          </cell>
          <cell r="I561" t="str">
            <v>RAMIRES MOTORS LTDA</v>
          </cell>
          <cell r="J561" t="str">
            <v>AVENIDA DARCI CARVALHO DAFFERNER</v>
          </cell>
          <cell r="K561">
            <v>301</v>
          </cell>
          <cell r="M561" t="str">
            <v>BOA VISTA</v>
          </cell>
          <cell r="N561" t="str">
            <v>SOROCABA</v>
          </cell>
          <cell r="O561" t="str">
            <v>SP</v>
          </cell>
          <cell r="Q561">
            <v>18085850</v>
          </cell>
          <cell r="R561">
            <v>170102220</v>
          </cell>
          <cell r="S561">
            <v>2</v>
          </cell>
          <cell r="T561">
            <v>2</v>
          </cell>
          <cell r="U561" t="str">
            <v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561">
            <v>528.74</v>
          </cell>
          <cell r="W561">
            <v>10.57</v>
          </cell>
          <cell r="X561">
            <v>0</v>
          </cell>
          <cell r="Y561">
            <v>3.44</v>
          </cell>
          <cell r="Z561">
            <v>15.86</v>
          </cell>
          <cell r="AA561">
            <v>5.29</v>
          </cell>
          <cell r="AB561">
            <v>528.74</v>
          </cell>
          <cell r="AC561">
            <v>0</v>
          </cell>
          <cell r="AD561">
            <v>0</v>
          </cell>
          <cell r="AE561" t="str">
            <v>Sim</v>
          </cell>
        </row>
        <row r="562">
          <cell r="F562">
            <v>122741</v>
          </cell>
          <cell r="G562">
            <v>236996</v>
          </cell>
          <cell r="H562">
            <v>41597303000110</v>
          </cell>
          <cell r="I562" t="str">
            <v>NEWLAND VEICULOS LTDA</v>
          </cell>
          <cell r="J562" t="str">
            <v>AVENIDA WASHINGTON SOARES</v>
          </cell>
          <cell r="K562">
            <v>1550</v>
          </cell>
          <cell r="L562" t="str">
            <v>LOJA 02</v>
          </cell>
          <cell r="M562" t="str">
            <v>EDSON QUEIROZ</v>
          </cell>
          <cell r="N562" t="str">
            <v>FORTALEZA</v>
          </cell>
          <cell r="O562" t="str">
            <v>CE</v>
          </cell>
          <cell r="Q562">
            <v>60811341</v>
          </cell>
          <cell r="R562">
            <v>170102220</v>
          </cell>
          <cell r="S562">
            <v>2</v>
          </cell>
          <cell r="T562">
            <v>2</v>
          </cell>
          <cell r="U562" t="str">
            <v>AntiFraude: Transações: 0 - Total: R$ 499,87 (Cobrança pelo mínimo mensal) (Período de apuração: 01/08/2026 à 31/08/2026) Vencimento: 22/10/2026 Brazilian Tax Information: Valor estimado dos tributos IBS e CBS, conforme disposto no art. 12 da Lei Complementar nº 214/2025 (Reforma Tributária sobre Consumo): R$5.10 (1%)</v>
          </cell>
          <cell r="V562">
            <v>510.07</v>
          </cell>
          <cell r="W562">
            <v>10.199999999999999</v>
          </cell>
          <cell r="X562">
            <v>0</v>
          </cell>
          <cell r="Y562">
            <v>3.32</v>
          </cell>
          <cell r="Z562">
            <v>15.3</v>
          </cell>
          <cell r="AA562">
            <v>5.0999999999999996</v>
          </cell>
          <cell r="AB562">
            <v>510.07</v>
          </cell>
          <cell r="AC562">
            <v>0</v>
          </cell>
          <cell r="AD562">
            <v>0</v>
          </cell>
          <cell r="AE562" t="str">
            <v>Sim</v>
          </cell>
        </row>
        <row r="563">
          <cell r="F563">
            <v>122742</v>
          </cell>
          <cell r="G563">
            <v>237000</v>
          </cell>
          <cell r="H563">
            <v>46401065000140</v>
          </cell>
          <cell r="I563" t="str">
            <v>TERRA FORTE DO NORDESTE COMERCIO DE VEICULOS LTDA</v>
          </cell>
          <cell r="J563" t="str">
            <v>AVENIDA COMENDADOR GUSTAVO PAIVA</v>
          </cell>
          <cell r="K563">
            <v>5030</v>
          </cell>
          <cell r="M563" t="str">
            <v>CRUZ DAS ALMAS</v>
          </cell>
          <cell r="N563" t="str">
            <v>MACEIO</v>
          </cell>
          <cell r="O563" t="str">
            <v>AL</v>
          </cell>
          <cell r="Q563">
            <v>57037532</v>
          </cell>
          <cell r="R563">
            <v>170102220</v>
          </cell>
          <cell r="S563">
            <v>2</v>
          </cell>
          <cell r="T563">
            <v>2</v>
          </cell>
          <cell r="U563" t="str">
            <v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v>
          </cell>
          <cell r="V563">
            <v>528.74</v>
          </cell>
          <cell r="W563">
            <v>10.57</v>
          </cell>
          <cell r="X563">
            <v>0</v>
          </cell>
          <cell r="Y563">
            <v>3.44</v>
          </cell>
          <cell r="Z563">
            <v>15.86</v>
          </cell>
          <cell r="AA563">
            <v>5.29</v>
          </cell>
          <cell r="AB563">
            <v>528.74</v>
          </cell>
          <cell r="AC563">
            <v>0</v>
          </cell>
          <cell r="AD563">
            <v>0</v>
          </cell>
          <cell r="AE563" t="str">
            <v>Sim</v>
          </cell>
        </row>
        <row r="564">
          <cell r="F564">
            <v>122743</v>
          </cell>
          <cell r="G564">
            <v>236975</v>
          </cell>
          <cell r="H564">
            <v>28086311000134</v>
          </cell>
          <cell r="I564" t="str">
            <v>SO MULTAS FRANCHISING LTDA</v>
          </cell>
          <cell r="J564" t="str">
            <v>AVENIDA BARAO HOMEM DE MELO</v>
          </cell>
          <cell r="K564">
            <v>3382</v>
          </cell>
          <cell r="L564" t="str">
            <v>SALA 301</v>
          </cell>
          <cell r="M564" t="str">
            <v>ESTORIL</v>
          </cell>
          <cell r="N564" t="str">
            <v>BELO HORIZONTE</v>
          </cell>
          <cell r="O564" t="str">
            <v>MG</v>
          </cell>
          <cell r="Q564">
            <v>30494270</v>
          </cell>
          <cell r="R564">
            <v>170102220</v>
          </cell>
          <cell r="S564">
            <v>2</v>
          </cell>
          <cell r="T564">
            <v>2</v>
          </cell>
          <cell r="U564" t="str">
            <v>AntiFraude: Transações: 0 - Total: R$ 639,72 (Cobrança pelo mínimo mensal) (Período de apuração: 01/08/2026 à 31/08/2026) Vencimento: 26/09/2026 Brazilian Tax Information: Valor estimado dos tributos IBS e CBS, conforme disposto no art. 12 da Lei Complementar nº 214/2025 (Reforma Tributária sobre Consumo): R$6.53 (1%)</v>
          </cell>
          <cell r="V564">
            <v>652.78</v>
          </cell>
          <cell r="W564">
            <v>13.06</v>
          </cell>
          <cell r="X564">
            <v>0</v>
          </cell>
          <cell r="Y564">
            <v>4.24</v>
          </cell>
          <cell r="Z564">
            <v>19.579999999999998</v>
          </cell>
          <cell r="AA564">
            <v>6.53</v>
          </cell>
          <cell r="AB564">
            <v>652.78</v>
          </cell>
          <cell r="AC564">
            <v>0</v>
          </cell>
          <cell r="AD564">
            <v>0</v>
          </cell>
          <cell r="AE564" t="str">
            <v>Sim</v>
          </cell>
        </row>
        <row r="565">
          <cell r="F565">
            <v>122744</v>
          </cell>
          <cell r="G565">
            <v>237007</v>
          </cell>
          <cell r="H565">
            <v>18487749000170</v>
          </cell>
          <cell r="I565" t="str">
            <v>PARQUE DO AVESTRUZ HOTEL FAZENDA S/A</v>
          </cell>
          <cell r="J565" t="str">
            <v>FAZENDA CAMPO ALEGRE</v>
          </cell>
          <cell r="K565" t="str">
            <v>SN</v>
          </cell>
          <cell r="M565" t="str">
            <v>ZONA RURAL</v>
          </cell>
          <cell r="N565" t="str">
            <v>ESMERALDAS</v>
          </cell>
          <cell r="O565" t="str">
            <v>MG</v>
          </cell>
          <cell r="Q565">
            <v>32809899</v>
          </cell>
          <cell r="R565">
            <v>170102220</v>
          </cell>
          <cell r="S565">
            <v>2</v>
          </cell>
          <cell r="T565">
            <v>2</v>
          </cell>
          <cell r="U565" t="str">
            <v>AntiFraude: Transações: 0 - Total: R$ 152,21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v>
          </cell>
          <cell r="V565">
            <v>155.32</v>
          </cell>
          <cell r="W565">
            <v>3.11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155.32</v>
          </cell>
          <cell r="AC565">
            <v>0</v>
          </cell>
          <cell r="AD565">
            <v>0</v>
          </cell>
          <cell r="AE565" t="str">
            <v>Sim</v>
          </cell>
        </row>
        <row r="566">
          <cell r="F566">
            <v>122745</v>
          </cell>
          <cell r="G566">
            <v>236971</v>
          </cell>
          <cell r="H566">
            <v>3764657000113</v>
          </cell>
          <cell r="I566" t="str">
            <v>ROJEMAC IMPORTACAO E EXPORTACAO LIMITADA</v>
          </cell>
          <cell r="J566" t="str">
            <v>RUA ADAMO ZAMBELLI</v>
          </cell>
          <cell r="K566">
            <v>190</v>
          </cell>
          <cell r="L566" t="str">
            <v>GALPAO11 A 13</v>
          </cell>
          <cell r="M566" t="str">
            <v>CALCAREA</v>
          </cell>
          <cell r="N566" t="str">
            <v>CAIEIRAS</v>
          </cell>
          <cell r="O566" t="str">
            <v>SP</v>
          </cell>
          <cell r="Q566">
            <v>7723000</v>
          </cell>
          <cell r="R566">
            <v>170102220</v>
          </cell>
          <cell r="S566">
            <v>2</v>
          </cell>
          <cell r="T566">
            <v>2</v>
          </cell>
          <cell r="U566" t="str">
            <v>AntiFraude: Transações: 0 - Total: R$ 12,95 (Cobrança pelo mínimo mensal) (Período de apuração: 01/08/2026 à 31/08/2026) Vencimento: 26/09/2026 Brazilian Tax Information: Valor estimado dos tributos IBS e CBS, conforme disposto no art. 12 da Lei Complementar nº 214/2025 (Reforma Tributária sobre Consumo): R$0.13 (1%)</v>
          </cell>
          <cell r="V566">
            <v>13.21</v>
          </cell>
          <cell r="W566">
            <v>0.26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13.21</v>
          </cell>
          <cell r="AC566">
            <v>0</v>
          </cell>
          <cell r="AD566">
            <v>0</v>
          </cell>
          <cell r="AE566" t="str">
            <v>Sim</v>
          </cell>
        </row>
        <row r="567">
          <cell r="F567">
            <v>122746</v>
          </cell>
          <cell r="G567">
            <v>236974</v>
          </cell>
          <cell r="H567">
            <v>37313312000165</v>
          </cell>
          <cell r="I567" t="str">
            <v>POCKET PAY SOLUCOES EM PAGAMENTOS LTDA</v>
          </cell>
          <cell r="J567" t="str">
            <v>RUA COELHO LISBOA</v>
          </cell>
          <cell r="K567">
            <v>442</v>
          </cell>
          <cell r="L567" t="str">
            <v>CONJ 21 SA LA 2</v>
          </cell>
          <cell r="M567" t="str">
            <v>CIDADE MAE DO CEU</v>
          </cell>
          <cell r="N567" t="str">
            <v>SAO PAULO</v>
          </cell>
          <cell r="O567" t="str">
            <v>SP</v>
          </cell>
          <cell r="Q567">
            <v>3323040</v>
          </cell>
          <cell r="R567">
            <v>170102220</v>
          </cell>
          <cell r="S567">
            <v>2</v>
          </cell>
          <cell r="T567">
            <v>2</v>
          </cell>
          <cell r="U567" t="str">
            <v>AntiFraude: Transações: 0 - Total: R$ 157,16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v>
          </cell>
          <cell r="V567">
            <v>160.37</v>
          </cell>
          <cell r="W567">
            <v>3.21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160.37</v>
          </cell>
          <cell r="AC567">
            <v>0</v>
          </cell>
          <cell r="AD567">
            <v>0</v>
          </cell>
          <cell r="AE567" t="str">
            <v>Sim</v>
          </cell>
        </row>
        <row r="568">
          <cell r="F568">
            <v>122747</v>
          </cell>
          <cell r="G568">
            <v>237006</v>
          </cell>
          <cell r="H568">
            <v>11843042000100</v>
          </cell>
          <cell r="I568" t="str">
            <v>PONTESTUR AGENCIA DE VIAGENS E TURISMO LTDA</v>
          </cell>
          <cell r="J568" t="str">
            <v>RUA BARAO DE SOUZA LEAO</v>
          </cell>
          <cell r="K568">
            <v>425</v>
          </cell>
          <cell r="L568" t="str">
            <v>SALA 1203 A 1210</v>
          </cell>
          <cell r="M568" t="str">
            <v>BOA VIAGEM</v>
          </cell>
          <cell r="N568" t="str">
            <v>RECIFE</v>
          </cell>
          <cell r="O568" t="str">
            <v>PE</v>
          </cell>
          <cell r="Q568">
            <v>51030300</v>
          </cell>
          <cell r="R568">
            <v>170102220</v>
          </cell>
          <cell r="S568">
            <v>2</v>
          </cell>
          <cell r="T568">
            <v>2</v>
          </cell>
          <cell r="U568" t="str">
            <v>AntiFraude: Transações: 0 - Total: R$ 148,67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v>
          </cell>
          <cell r="V568">
            <v>151.69999999999999</v>
          </cell>
          <cell r="W568">
            <v>3.03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151.69999999999999</v>
          </cell>
          <cell r="AC568">
            <v>0</v>
          </cell>
          <cell r="AD568">
            <v>0</v>
          </cell>
          <cell r="AE568" t="str">
            <v>Sim</v>
          </cell>
        </row>
        <row r="569">
          <cell r="F569">
            <v>122748</v>
          </cell>
          <cell r="G569">
            <v>236973</v>
          </cell>
          <cell r="H569">
            <v>40161679000115</v>
          </cell>
          <cell r="I569" t="str">
            <v>NUTRADO INDUSTRIA E COMERCIO DE COMPLEMENTOS ALIMENTARES S.A</v>
          </cell>
          <cell r="J569" t="str">
            <v>RUA DOUTOR JOAO EMILIO FALCAO COSTA</v>
          </cell>
          <cell r="K569">
            <v>148</v>
          </cell>
          <cell r="L569" t="str">
            <v>SALA 3</v>
          </cell>
          <cell r="M569" t="str">
            <v>MENDONCA CLARK</v>
          </cell>
          <cell r="N569" t="str">
            <v>PARNAIBA</v>
          </cell>
          <cell r="O569" t="str">
            <v>PI</v>
          </cell>
          <cell r="Q569">
            <v>64200545</v>
          </cell>
          <cell r="R569">
            <v>170102220</v>
          </cell>
          <cell r="S569">
            <v>2</v>
          </cell>
          <cell r="T569">
            <v>2</v>
          </cell>
          <cell r="U569" t="str">
            <v>AntiFraude: Transações: 0 - Total: R$ 524,48 (Cobrança pelo mínimo mensal) (Período de apuração: 01/08/2026 à 31/08/2026) Vencimento: 26/09/2026 Brazilian Tax Information: Valor estimado dos tributos IBS e CBS, conforme disposto no art. 12 da Lei Complementar nº 214/2025 (Reforma Tributária sobre Consumo): R$5.35 (1%)</v>
          </cell>
          <cell r="V569">
            <v>535.17999999999995</v>
          </cell>
          <cell r="W569">
            <v>10.7</v>
          </cell>
          <cell r="X569">
            <v>0</v>
          </cell>
          <cell r="Y569">
            <v>3.48</v>
          </cell>
          <cell r="Z569">
            <v>16.059999999999999</v>
          </cell>
          <cell r="AA569">
            <v>5.35</v>
          </cell>
          <cell r="AB569">
            <v>535.17999999999995</v>
          </cell>
          <cell r="AC569">
            <v>0</v>
          </cell>
          <cell r="AD569">
            <v>0</v>
          </cell>
          <cell r="AE569" t="str">
            <v>Sim</v>
          </cell>
        </row>
        <row r="570">
          <cell r="F570">
            <v>122749</v>
          </cell>
          <cell r="G570">
            <v>237011</v>
          </cell>
          <cell r="H570">
            <v>26522208000326</v>
          </cell>
          <cell r="I570" t="str">
            <v>RESERVA COMERCIO EXTERIOR LTDA</v>
          </cell>
          <cell r="J570" t="str">
            <v>RUA 2400</v>
          </cell>
          <cell r="K570">
            <v>450</v>
          </cell>
          <cell r="L570" t="str">
            <v>SALA 02 ED IF GRAN V</v>
          </cell>
          <cell r="M570" t="str">
            <v>CENTRO</v>
          </cell>
          <cell r="N570" t="str">
            <v>BALNEARIO CAMBORIU</v>
          </cell>
          <cell r="O570" t="str">
            <v>SC</v>
          </cell>
          <cell r="Q570">
            <v>88330414</v>
          </cell>
          <cell r="R570">
            <v>170102220</v>
          </cell>
          <cell r="S570">
            <v>2</v>
          </cell>
          <cell r="T570">
            <v>2</v>
          </cell>
          <cell r="U570" t="str">
            <v>AntiFraude: Transações: 0 - Total: R$ 248,61 (Cobrança pelo mínimo mensal) (Período de apuração: 01/08/2026 à 31/08/2026) Vencimento: 26/09/2026 Brazilian Tax Information: Valor estimado dos tributos IBS e CBS, conforme disposto no art. 12 da Lei Complementar nº 214/2025 (Reforma Tributária sobre Consumo): R$2.54 (1%)</v>
          </cell>
          <cell r="V570">
            <v>253.68</v>
          </cell>
          <cell r="W570">
            <v>5.07</v>
          </cell>
          <cell r="X570">
            <v>0</v>
          </cell>
          <cell r="Y570">
            <v>1.65</v>
          </cell>
          <cell r="Z570">
            <v>7.61</v>
          </cell>
          <cell r="AA570">
            <v>2.54</v>
          </cell>
          <cell r="AB570">
            <v>253.68</v>
          </cell>
          <cell r="AC570">
            <v>0</v>
          </cell>
          <cell r="AD570">
            <v>0</v>
          </cell>
          <cell r="AE570" t="str">
            <v>Sim</v>
          </cell>
        </row>
        <row r="571">
          <cell r="F571">
            <v>122750</v>
          </cell>
          <cell r="G571">
            <v>237003</v>
          </cell>
          <cell r="H571">
            <v>72675028000482</v>
          </cell>
          <cell r="I571" t="str">
            <v>TREVILUB COMERCIO DE LUBRIFICANTESLTDA</v>
          </cell>
          <cell r="J571" t="str">
            <v>RUA SAO GABRIEL</v>
          </cell>
          <cell r="K571">
            <v>1501</v>
          </cell>
          <cell r="L571" t="str">
            <v>ANEXO COM 02</v>
          </cell>
          <cell r="M571" t="str">
            <v>JARDIM SANTA SOFIA</v>
          </cell>
          <cell r="N571" t="str">
            <v>AMERICANA</v>
          </cell>
          <cell r="O571" t="str">
            <v>SP</v>
          </cell>
          <cell r="Q571">
            <v>13473000</v>
          </cell>
          <cell r="R571">
            <v>170102220</v>
          </cell>
          <cell r="S571">
            <v>2</v>
          </cell>
          <cell r="T571">
            <v>2</v>
          </cell>
          <cell r="U571" t="str">
            <v>AntiFraude: Transações: 0 - Total: R$ 576,84 (Cobrança pelo mínimo mensal) (Período de apuração: 01/08/2026 à 31/08/2026) Vencimento: 26/09/2026 Brazilian Tax Information: Valor estimado dos tributos IBS e CBS, conforme disposto no art. 12 da Lei Complementar nº 214/2025 (Reforma Tributária sobre Consumo): R$5.89 (1%)</v>
          </cell>
          <cell r="V571">
            <v>588.61</v>
          </cell>
          <cell r="W571">
            <v>11.77</v>
          </cell>
          <cell r="X571">
            <v>0</v>
          </cell>
          <cell r="Y571">
            <v>3.83</v>
          </cell>
          <cell r="Z571">
            <v>17.66</v>
          </cell>
          <cell r="AA571">
            <v>5.89</v>
          </cell>
          <cell r="AB571">
            <v>588.61</v>
          </cell>
          <cell r="AC571">
            <v>0</v>
          </cell>
          <cell r="AD571">
            <v>0</v>
          </cell>
          <cell r="AE571" t="str">
            <v>Sim</v>
          </cell>
        </row>
        <row r="572">
          <cell r="F572">
            <v>122751</v>
          </cell>
          <cell r="G572">
            <v>237055</v>
          </cell>
          <cell r="H572">
            <v>65993453003550</v>
          </cell>
          <cell r="I572" t="str">
            <v>RODOBENS COMERCIO E LOCACAO DE VEICULOS LTDA.</v>
          </cell>
          <cell r="J572" t="str">
            <v>AVENIDA BADY BASSITT</v>
          </cell>
          <cell r="K572">
            <v>4717</v>
          </cell>
          <cell r="L572" t="str">
            <v>ANDAR 1 SA LA 06N</v>
          </cell>
          <cell r="M572" t="str">
            <v>CENTRO</v>
          </cell>
          <cell r="N572" t="str">
            <v>SAO JOSE DO RIO PRETO</v>
          </cell>
          <cell r="O572" t="str">
            <v>SP</v>
          </cell>
          <cell r="Q572">
            <v>15015700</v>
          </cell>
          <cell r="R572">
            <v>170102220</v>
          </cell>
          <cell r="S572">
            <v>2</v>
          </cell>
          <cell r="T572">
            <v>2</v>
          </cell>
          <cell r="U572" t="str">
            <v>AntiFraude: Transações: 0 - Total: R$ 474,00 (Cobrança pelo mínimo mensal) (Período de apuração: 01/08/2026 à 31/08/2026) Vencimento: 11/10/2026 Brazilian Tax Information: Valor estimado dos tributos IBS e CBS, conforme disposto no art. 12 da Lei Complementar nº 214/2025 (Reforma Tributária sobre Consumo): R$4.84 (1%)</v>
          </cell>
          <cell r="V572">
            <v>483.67</v>
          </cell>
          <cell r="W572">
            <v>9.67</v>
          </cell>
          <cell r="X572">
            <v>0</v>
          </cell>
          <cell r="Y572">
            <v>3.14</v>
          </cell>
          <cell r="Z572">
            <v>14.51</v>
          </cell>
          <cell r="AA572">
            <v>4.84</v>
          </cell>
          <cell r="AB572">
            <v>483.67</v>
          </cell>
          <cell r="AC572">
            <v>0</v>
          </cell>
          <cell r="AD572">
            <v>0</v>
          </cell>
          <cell r="AE572" t="str">
            <v>Sim</v>
          </cell>
        </row>
        <row r="573">
          <cell r="F573">
            <v>122752</v>
          </cell>
          <cell r="G573">
            <v>237062</v>
          </cell>
          <cell r="H573">
            <v>35366183000148</v>
          </cell>
          <cell r="I573" t="str">
            <v>SOULWINES COMERCIO E DEGUSTACAO DEBEBIDAS LTDA</v>
          </cell>
          <cell r="J573" t="str">
            <v>AVENIDA MARCOS PENTEADO DE ULHOA RODRIGUES</v>
          </cell>
          <cell r="K573">
            <v>4053</v>
          </cell>
          <cell r="L573" t="str">
            <v>SALA 310 D</v>
          </cell>
          <cell r="M573" t="str">
            <v>TAMBORE</v>
          </cell>
          <cell r="N573" t="str">
            <v>SANTANA DE PARNAIBA</v>
          </cell>
          <cell r="O573" t="str">
            <v>SP</v>
          </cell>
          <cell r="Q573">
            <v>6543001</v>
          </cell>
          <cell r="R573">
            <v>170102220</v>
          </cell>
          <cell r="S573">
            <v>2</v>
          </cell>
          <cell r="T573">
            <v>2</v>
          </cell>
          <cell r="U573" t="str">
            <v>AntiFraude: Transações: 0 -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v>
          </cell>
          <cell r="V573">
            <v>505.1</v>
          </cell>
          <cell r="W573">
            <v>10.1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505.1</v>
          </cell>
          <cell r="AC573">
            <v>0</v>
          </cell>
          <cell r="AD573">
            <v>0</v>
          </cell>
          <cell r="AE573" t="str">
            <v>Sim</v>
          </cell>
        </row>
        <row r="574">
          <cell r="F574">
            <v>122753</v>
          </cell>
          <cell r="G574">
            <v>237023</v>
          </cell>
          <cell r="H574">
            <v>11838187000202</v>
          </cell>
          <cell r="I574" t="str">
            <v>TEXLUSK &amp; FIXA LTDA</v>
          </cell>
          <cell r="J574" t="str">
            <v>RUA LUIZ ARMANDO OHPIS</v>
          </cell>
          <cell r="K574">
            <v>319</v>
          </cell>
          <cell r="M574" t="str">
            <v>FAZENDA VELHA</v>
          </cell>
          <cell r="N574" t="str">
            <v>ARAUCARIA</v>
          </cell>
          <cell r="O574" t="str">
            <v>PR</v>
          </cell>
          <cell r="Q574">
            <v>83705072</v>
          </cell>
          <cell r="R574">
            <v>170102220</v>
          </cell>
          <cell r="S574">
            <v>2</v>
          </cell>
          <cell r="T574">
            <v>2</v>
          </cell>
          <cell r="U574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74">
            <v>5.14</v>
          </cell>
          <cell r="W574">
            <v>0.1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5.14</v>
          </cell>
          <cell r="AC574">
            <v>0</v>
          </cell>
          <cell r="AD574">
            <v>0</v>
          </cell>
          <cell r="AE574" t="str">
            <v>Sim</v>
          </cell>
        </row>
        <row r="575">
          <cell r="F575">
            <v>122754</v>
          </cell>
          <cell r="G575">
            <v>237021</v>
          </cell>
          <cell r="H575">
            <v>14022631000116</v>
          </cell>
          <cell r="I575" t="str">
            <v>SMACK BRASIL LTDA</v>
          </cell>
          <cell r="J575" t="str">
            <v>RUA MARIA CERON VOLPE</v>
          </cell>
          <cell r="K575">
            <v>351</v>
          </cell>
          <cell r="L575" t="str">
            <v>SALAO B</v>
          </cell>
          <cell r="M575" t="str">
            <v>VILA TONINHO</v>
          </cell>
          <cell r="N575" t="str">
            <v>SAO JOSE DO RIO PRETO</v>
          </cell>
          <cell r="O575" t="str">
            <v>SP</v>
          </cell>
          <cell r="Q575">
            <v>15077020</v>
          </cell>
          <cell r="R575">
            <v>170102220</v>
          </cell>
          <cell r="S575">
            <v>2</v>
          </cell>
          <cell r="T575">
            <v>2</v>
          </cell>
          <cell r="U575" t="str">
            <v>AntiFraude: Transações: 0 - Total: R$ 150,00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v>
          </cell>
          <cell r="V575">
            <v>153.06</v>
          </cell>
          <cell r="W575">
            <v>3.06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153.06</v>
          </cell>
          <cell r="AC575">
            <v>0</v>
          </cell>
          <cell r="AD575">
            <v>0</v>
          </cell>
          <cell r="AE575" t="str">
            <v>Sim</v>
          </cell>
        </row>
        <row r="576">
          <cell r="F576">
            <v>122755</v>
          </cell>
          <cell r="G576">
            <v>237046</v>
          </cell>
          <cell r="H576">
            <v>46044053000105</v>
          </cell>
          <cell r="I576" t="str">
            <v>NORTEL SUPRIMENTOS INDUSTRIAIS LTDA</v>
          </cell>
          <cell r="J576" t="str">
            <v>RUA GUSTAVO ORSOLINI</v>
          </cell>
          <cell r="K576">
            <v>6465</v>
          </cell>
          <cell r="L576" t="str">
            <v>GALPAO: 01 N</v>
          </cell>
          <cell r="M576" t="str">
            <v>JARDIM NOVA MERCEDES</v>
          </cell>
          <cell r="N576" t="str">
            <v>CAMPINAS</v>
          </cell>
          <cell r="O576" t="str">
            <v>SP</v>
          </cell>
          <cell r="Q576">
            <v>13052501</v>
          </cell>
          <cell r="R576">
            <v>170102220</v>
          </cell>
          <cell r="S576">
            <v>2</v>
          </cell>
          <cell r="T576">
            <v>2</v>
          </cell>
          <cell r="U576" t="str">
            <v>AntiFraude: Transações: 0 - Total: R$ 200,68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v>
          </cell>
          <cell r="V576">
            <v>204.78</v>
          </cell>
          <cell r="W576">
            <v>4.0999999999999996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204.78</v>
          </cell>
          <cell r="AC576">
            <v>0</v>
          </cell>
          <cell r="AD576">
            <v>0</v>
          </cell>
          <cell r="AE576" t="str">
            <v>Sim</v>
          </cell>
        </row>
        <row r="577">
          <cell r="F577">
            <v>122756</v>
          </cell>
          <cell r="G577">
            <v>237053</v>
          </cell>
          <cell r="H577">
            <v>22166562000304</v>
          </cell>
          <cell r="I577" t="str">
            <v>R. O. MARTINS PEREIRA &amp; CIA LTDA</v>
          </cell>
          <cell r="J577" t="str">
            <v>AVENIDA DOUTOR MEIRELLES</v>
          </cell>
          <cell r="K577">
            <v>352</v>
          </cell>
          <cell r="L577" t="str">
            <v>SALA 09 TE RREO</v>
          </cell>
          <cell r="M577" t="str">
            <v>TIJUCAL</v>
          </cell>
          <cell r="N577" t="str">
            <v>CUIABA</v>
          </cell>
          <cell r="O577" t="str">
            <v>MT</v>
          </cell>
          <cell r="Q577">
            <v>78088010</v>
          </cell>
          <cell r="R577">
            <v>170102220</v>
          </cell>
          <cell r="S577">
            <v>2</v>
          </cell>
          <cell r="T577">
            <v>2</v>
          </cell>
          <cell r="U57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77">
            <v>5.14</v>
          </cell>
          <cell r="W577">
            <v>0.1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5.14</v>
          </cell>
          <cell r="AC577">
            <v>0</v>
          </cell>
          <cell r="AD577">
            <v>0</v>
          </cell>
          <cell r="AE577" t="str">
            <v>Sim</v>
          </cell>
        </row>
        <row r="578">
          <cell r="F578">
            <v>122757</v>
          </cell>
          <cell r="G578">
            <v>237060</v>
          </cell>
          <cell r="H578">
            <v>10636142000101</v>
          </cell>
          <cell r="I578" t="str">
            <v>REDEMOB CONSORCIO</v>
          </cell>
          <cell r="J578" t="str">
            <v>AVENIDA INDEPENDENCIA</v>
          </cell>
          <cell r="K578">
            <v>4533</v>
          </cell>
          <cell r="L578" t="str">
            <v>QUADRA134 LOTE 31</v>
          </cell>
          <cell r="M578" t="str">
            <v>SETOR CENTRAL</v>
          </cell>
          <cell r="N578" t="str">
            <v>GOIANIA</v>
          </cell>
          <cell r="O578" t="str">
            <v>GO</v>
          </cell>
          <cell r="Q578">
            <v>74055055</v>
          </cell>
          <cell r="R578">
            <v>170102220</v>
          </cell>
          <cell r="S578">
            <v>2</v>
          </cell>
          <cell r="T578">
            <v>2</v>
          </cell>
          <cell r="U578" t="str">
            <v>AntiFraude: Transações: 0 - Total: R$ 637,45 (Cobrança pelo mínimo mensal) (Período de apuração: 01/08/2026 à 31/08/2026) Vencimento: 26/09/2026 Brazilian Tax Information: Valor estimado dos tributos IBS e CBS, conforme disposto no art. 12 da Lei Complementar nº 214/2025 (Reforma Tributária sobre Consumo): R$6.50 (1%)</v>
          </cell>
          <cell r="V578">
            <v>650.46</v>
          </cell>
          <cell r="W578">
            <v>13.01</v>
          </cell>
          <cell r="X578">
            <v>0</v>
          </cell>
          <cell r="Y578">
            <v>4.2300000000000004</v>
          </cell>
          <cell r="Z578">
            <v>19.510000000000002</v>
          </cell>
          <cell r="AA578">
            <v>6.5</v>
          </cell>
          <cell r="AB578">
            <v>650.46</v>
          </cell>
          <cell r="AC578">
            <v>0</v>
          </cell>
          <cell r="AD578">
            <v>0</v>
          </cell>
          <cell r="AE578" t="str">
            <v>Sim</v>
          </cell>
        </row>
        <row r="579">
          <cell r="F579">
            <v>122758</v>
          </cell>
          <cell r="G579">
            <v>237032</v>
          </cell>
          <cell r="H579">
            <v>2397386000142</v>
          </cell>
          <cell r="I579" t="str">
            <v>T F S INDUSTRIA DE CONFECCOES LTDA</v>
          </cell>
          <cell r="J579" t="str">
            <v>RUA GENERAL OTAVIO DA SILVA PARANHOS</v>
          </cell>
          <cell r="K579">
            <v>905</v>
          </cell>
          <cell r="M579" t="str">
            <v>JARDIM GUANABARA</v>
          </cell>
          <cell r="N579" t="str">
            <v>FORTALEZA</v>
          </cell>
          <cell r="O579" t="str">
            <v>CE</v>
          </cell>
          <cell r="Q579">
            <v>60346235</v>
          </cell>
          <cell r="R579">
            <v>170102220</v>
          </cell>
          <cell r="S579">
            <v>2</v>
          </cell>
          <cell r="T579">
            <v>2</v>
          </cell>
          <cell r="U579" t="str">
            <v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v>
          </cell>
          <cell r="V579">
            <v>203.17</v>
          </cell>
          <cell r="W579">
            <v>4.0599999999999996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203.17</v>
          </cell>
          <cell r="AC579">
            <v>0</v>
          </cell>
          <cell r="AD579">
            <v>0</v>
          </cell>
          <cell r="AE579" t="str">
            <v>Sim</v>
          </cell>
        </row>
        <row r="580">
          <cell r="F580">
            <v>122759</v>
          </cell>
          <cell r="G580">
            <v>237052</v>
          </cell>
          <cell r="H580">
            <v>12431970000120</v>
          </cell>
          <cell r="I580" t="str">
            <v>ULTRAPOPULAR SAO DESIDERIO LTDA</v>
          </cell>
          <cell r="J580" t="str">
            <v>PRACA JUAREZ DE SOUZA</v>
          </cell>
          <cell r="K580">
            <v>77</v>
          </cell>
          <cell r="M580" t="str">
            <v>CENTRO</v>
          </cell>
          <cell r="N580" t="str">
            <v>SAO DESIDERIO</v>
          </cell>
          <cell r="O580" t="str">
            <v>BA</v>
          </cell>
          <cell r="Q580">
            <v>47820000</v>
          </cell>
          <cell r="R580">
            <v>170102220</v>
          </cell>
          <cell r="S580">
            <v>2</v>
          </cell>
          <cell r="T580">
            <v>2</v>
          </cell>
          <cell r="U580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80">
            <v>5.17</v>
          </cell>
          <cell r="W580">
            <v>0.1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5.17</v>
          </cell>
          <cell r="AC580">
            <v>0</v>
          </cell>
          <cell r="AD580">
            <v>0</v>
          </cell>
          <cell r="AE580" t="str">
            <v>Sim</v>
          </cell>
        </row>
        <row r="581">
          <cell r="F581">
            <v>122760</v>
          </cell>
          <cell r="G581">
            <v>237019</v>
          </cell>
          <cell r="H581">
            <v>86852613000172</v>
          </cell>
          <cell r="I581" t="str">
            <v>REDE DROGARIAS ULTRA POPULAR LTDA</v>
          </cell>
          <cell r="J581" t="str">
            <v>RUA DO ANTIGO AEROPORTO</v>
          </cell>
          <cell r="K581">
            <v>1031</v>
          </cell>
          <cell r="M581" t="str">
            <v>SAO PEDRO</v>
          </cell>
          <cell r="N581" t="str">
            <v>BARREIRAS</v>
          </cell>
          <cell r="O581" t="str">
            <v>BA</v>
          </cell>
          <cell r="Q581">
            <v>47810894</v>
          </cell>
          <cell r="R581">
            <v>170102220</v>
          </cell>
          <cell r="S581">
            <v>2</v>
          </cell>
          <cell r="T581">
            <v>2</v>
          </cell>
          <cell r="U581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81">
            <v>5.17</v>
          </cell>
          <cell r="W581">
            <v>0.1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5.17</v>
          </cell>
          <cell r="AC581">
            <v>0</v>
          </cell>
          <cell r="AD581">
            <v>0</v>
          </cell>
          <cell r="AE581" t="str">
            <v>Sim</v>
          </cell>
        </row>
        <row r="582">
          <cell r="F582">
            <v>122761</v>
          </cell>
          <cell r="G582">
            <v>237038</v>
          </cell>
          <cell r="H582">
            <v>86852613000253</v>
          </cell>
          <cell r="I582" t="str">
            <v>REDE DROGARIAS ULTRA POPULAR LTDA</v>
          </cell>
          <cell r="J582" t="str">
            <v>PRACA RAIMUNDO SALES</v>
          </cell>
          <cell r="K582">
            <v>32</v>
          </cell>
          <cell r="M582" t="str">
            <v>CENTRO</v>
          </cell>
          <cell r="N582" t="str">
            <v>CORRENTINA</v>
          </cell>
          <cell r="O582" t="str">
            <v>BA</v>
          </cell>
          <cell r="Q582">
            <v>47650000</v>
          </cell>
          <cell r="R582">
            <v>170102220</v>
          </cell>
          <cell r="S582">
            <v>2</v>
          </cell>
          <cell r="T582">
            <v>2</v>
          </cell>
          <cell r="U582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82">
            <v>5.17</v>
          </cell>
          <cell r="W582">
            <v>0.1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5.17</v>
          </cell>
          <cell r="AC582">
            <v>0</v>
          </cell>
          <cell r="AD582">
            <v>0</v>
          </cell>
          <cell r="AE582" t="str">
            <v>Sim</v>
          </cell>
        </row>
        <row r="583">
          <cell r="F583">
            <v>122762</v>
          </cell>
          <cell r="G583">
            <v>237031</v>
          </cell>
          <cell r="H583">
            <v>86852613000334</v>
          </cell>
          <cell r="I583" t="str">
            <v>REDE DROGARIAS ULTRA POPULAR LTDA</v>
          </cell>
          <cell r="J583" t="str">
            <v>RUA MARECHAL HERMES</v>
          </cell>
          <cell r="K583">
            <v>155</v>
          </cell>
          <cell r="M583" t="str">
            <v>CENTRO</v>
          </cell>
          <cell r="N583" t="str">
            <v>BARREIRAS</v>
          </cell>
          <cell r="O583" t="str">
            <v>BA</v>
          </cell>
          <cell r="Q583">
            <v>47800169</v>
          </cell>
          <cell r="R583">
            <v>170102220</v>
          </cell>
          <cell r="S583">
            <v>2</v>
          </cell>
          <cell r="T583">
            <v>2</v>
          </cell>
          <cell r="U583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83">
            <v>5.17</v>
          </cell>
          <cell r="W583">
            <v>0.1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5.17</v>
          </cell>
          <cell r="AC583">
            <v>0</v>
          </cell>
          <cell r="AD583">
            <v>0</v>
          </cell>
          <cell r="AE583" t="str">
            <v>Sim</v>
          </cell>
        </row>
        <row r="584">
          <cell r="F584">
            <v>122763</v>
          </cell>
          <cell r="G584">
            <v>237048</v>
          </cell>
          <cell r="H584">
            <v>9193927000160</v>
          </cell>
          <cell r="I584" t="str">
            <v>ULTRAPOPULAR BARREIRAS LTDA</v>
          </cell>
          <cell r="J584" t="str">
            <v>AVENIDA ANTONIO CARLOS MAGALHAES</v>
          </cell>
          <cell r="K584">
            <v>648</v>
          </cell>
          <cell r="M584" t="str">
            <v>JARDIM OURO BRANCO</v>
          </cell>
          <cell r="N584" t="str">
            <v>BARREIRAS</v>
          </cell>
          <cell r="O584" t="str">
            <v>BA</v>
          </cell>
          <cell r="Q584">
            <v>47802147</v>
          </cell>
          <cell r="R584">
            <v>170102220</v>
          </cell>
          <cell r="S584">
            <v>2</v>
          </cell>
          <cell r="T584">
            <v>2</v>
          </cell>
          <cell r="U584" t="str">
            <v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84">
            <v>5.17</v>
          </cell>
          <cell r="W584">
            <v>0.1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5.17</v>
          </cell>
          <cell r="AC584">
            <v>0</v>
          </cell>
          <cell r="AD584">
            <v>0</v>
          </cell>
          <cell r="AE584" t="str">
            <v>Sim</v>
          </cell>
        </row>
        <row r="585">
          <cell r="F585">
            <v>122764</v>
          </cell>
          <cell r="G585">
            <v>237040</v>
          </cell>
          <cell r="H585">
            <v>51131969000132</v>
          </cell>
          <cell r="I585" t="str">
            <v>TEC LAB MEDICINA DIAGNOSTICA S/A</v>
          </cell>
          <cell r="J585" t="str">
            <v>AVENIDA LUCAS NOGUEIRA GARCEZ</v>
          </cell>
          <cell r="K585">
            <v>929</v>
          </cell>
          <cell r="M585" t="str">
            <v>JARDIM DO MAR</v>
          </cell>
          <cell r="N585" t="str">
            <v>SAO BERNARDO DO CAMPO</v>
          </cell>
          <cell r="O585" t="str">
            <v>SP</v>
          </cell>
          <cell r="Q585">
            <v>9750670</v>
          </cell>
          <cell r="R585">
            <v>170102220</v>
          </cell>
          <cell r="S585">
            <v>2</v>
          </cell>
          <cell r="T585">
            <v>2</v>
          </cell>
          <cell r="U585" t="str">
            <v>AntiFraude: Transações: 0 - Total: R$ 497,77 (Cobrança pelo mínimo mensal) (Período de apuração: 01/08/2026 à 31/08/2026) Vencimento: 26/09/2026 Brazilian Tax Information: Valor estimado dos tributos IBS e CBS, conforme disposto no art. 12 da Lei Complementar nº 214/2025 (Reforma Tributária sobre Consumo): R$5.08 (1%)</v>
          </cell>
          <cell r="V585">
            <v>507.93</v>
          </cell>
          <cell r="W585">
            <v>10.16</v>
          </cell>
          <cell r="X585">
            <v>0</v>
          </cell>
          <cell r="Y585">
            <v>3.3</v>
          </cell>
          <cell r="Z585">
            <v>15.24</v>
          </cell>
          <cell r="AA585">
            <v>5.08</v>
          </cell>
          <cell r="AB585">
            <v>507.93</v>
          </cell>
          <cell r="AC585">
            <v>0</v>
          </cell>
          <cell r="AD585">
            <v>0</v>
          </cell>
          <cell r="AE585" t="str">
            <v>Sim</v>
          </cell>
        </row>
        <row r="586">
          <cell r="F586">
            <v>122765</v>
          </cell>
          <cell r="G586">
            <v>237066</v>
          </cell>
          <cell r="H586">
            <v>4975859000339</v>
          </cell>
          <cell r="I586" t="str">
            <v>NDI IMPORTACAO, EXPORTACAO, COMERCIO E REPRESENTACOES LTDA</v>
          </cell>
          <cell r="J586" t="str">
            <v>RUA ARNOLDO REINERT</v>
          </cell>
          <cell r="K586">
            <v>1204</v>
          </cell>
          <cell r="L586" t="str">
            <v>GALPAO MOD ULO A B C</v>
          </cell>
          <cell r="M586" t="str">
            <v>ESCALVADO</v>
          </cell>
          <cell r="N586" t="str">
            <v>BARRA VELHA</v>
          </cell>
          <cell r="O586" t="str">
            <v>SC</v>
          </cell>
          <cell r="Q586">
            <v>88390000</v>
          </cell>
          <cell r="R586">
            <v>170102220</v>
          </cell>
          <cell r="S586">
            <v>2</v>
          </cell>
          <cell r="T586">
            <v>2</v>
          </cell>
          <cell r="U586" t="str">
            <v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v>
          </cell>
          <cell r="V586">
            <v>102.5</v>
          </cell>
          <cell r="W586">
            <v>2.0499999999999998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102.5</v>
          </cell>
          <cell r="AC586">
            <v>0</v>
          </cell>
          <cell r="AD586">
            <v>0</v>
          </cell>
          <cell r="AE586" t="str">
            <v>Sim</v>
          </cell>
        </row>
        <row r="587">
          <cell r="F587">
            <v>122766</v>
          </cell>
          <cell r="G587">
            <v>237106</v>
          </cell>
          <cell r="H587">
            <v>30318916000155</v>
          </cell>
          <cell r="I587" t="str">
            <v>OBJETIVO 1220 COMERCIO DE COSMETICOS LTDA</v>
          </cell>
          <cell r="J587" t="str">
            <v>RUA JOSEPHA GOMES DE SOUZA</v>
          </cell>
          <cell r="K587">
            <v>306</v>
          </cell>
          <cell r="L587" t="str">
            <v>GALPAOA SA LA 01</v>
          </cell>
          <cell r="M587" t="str">
            <v>DOS PIRES</v>
          </cell>
          <cell r="N587" t="str">
            <v>EXTREMA</v>
          </cell>
          <cell r="O587" t="str">
            <v>MG</v>
          </cell>
          <cell r="Q587">
            <v>37640000</v>
          </cell>
          <cell r="R587">
            <v>170102220</v>
          </cell>
          <cell r="S587">
            <v>2</v>
          </cell>
          <cell r="T587">
            <v>2</v>
          </cell>
          <cell r="U587" t="str">
            <v>AntiFraude: Transações: 0 - Total: R$ 6.895,39 (Cobrança pelo mínimo mensal) (Período de apuração: 01/08/2026 à 31/08/2026) Vencimento: 26/09/2026 Brazilian Tax Information: Valor estimado dos tributos IBS e CBS, conforme disposto no art. 12 da Lei Complementar nº 214/2025 (Reforma Tributária sobre Consumo): R$70.36 (1%)</v>
          </cell>
          <cell r="V587">
            <v>7036.11</v>
          </cell>
          <cell r="W587">
            <v>140.72</v>
          </cell>
          <cell r="X587">
            <v>105.54</v>
          </cell>
          <cell r="Y587">
            <v>45.73</v>
          </cell>
          <cell r="Z587">
            <v>211.08</v>
          </cell>
          <cell r="AA587">
            <v>70.36</v>
          </cell>
          <cell r="AB587">
            <v>7036.11</v>
          </cell>
          <cell r="AC587">
            <v>0</v>
          </cell>
          <cell r="AD587">
            <v>0</v>
          </cell>
          <cell r="AE587" t="str">
            <v>Sim</v>
          </cell>
        </row>
        <row r="588">
          <cell r="F588">
            <v>122767</v>
          </cell>
          <cell r="G588">
            <v>237080</v>
          </cell>
          <cell r="H588">
            <v>59264040000193</v>
          </cell>
          <cell r="I588" t="str">
            <v>OUTLET 55 LTDA</v>
          </cell>
          <cell r="J588" t="str">
            <v>AVENIDA ACUCENA</v>
          </cell>
          <cell r="K588">
            <v>990</v>
          </cell>
          <cell r="M588" t="str">
            <v>ESTANCIA VELHA</v>
          </cell>
          <cell r="N588" t="str">
            <v>CANOAS</v>
          </cell>
          <cell r="O588" t="str">
            <v>RS</v>
          </cell>
          <cell r="Q588">
            <v>92025840</v>
          </cell>
          <cell r="R588">
            <v>170102220</v>
          </cell>
          <cell r="S588">
            <v>2</v>
          </cell>
          <cell r="T588">
            <v>2</v>
          </cell>
          <cell r="U588" t="str">
            <v>AntiFraude: Transações: 0 - Total: R$ 200,89 (Cobrança pelo mínimo mensal) (Período de apuração: 01/08/2026 à 31/08/2026) Vencimento: 11/10/2026 Brazilian Tax Information: Valor estimado dos tributos IBS e CBS, conforme disposto no art. 12 da Lei Complementar nº 214/2025 (Reforma Tributária sobre Consumo): R$2.05 (1%)</v>
          </cell>
          <cell r="V588">
            <v>204.99</v>
          </cell>
          <cell r="W588">
            <v>4.0999999999999996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204.99</v>
          </cell>
          <cell r="AC588">
            <v>0</v>
          </cell>
          <cell r="AD588">
            <v>0</v>
          </cell>
          <cell r="AE588" t="str">
            <v>Sim</v>
          </cell>
        </row>
        <row r="589">
          <cell r="F589">
            <v>122768</v>
          </cell>
          <cell r="G589">
            <v>237068</v>
          </cell>
          <cell r="H589">
            <v>13439115000129</v>
          </cell>
          <cell r="I589" t="str">
            <v>NATU FARMA FARMACIA E DROGARIA LTDA</v>
          </cell>
          <cell r="J589" t="str">
            <v>RUA DR PENN GOMES</v>
          </cell>
          <cell r="K589">
            <v>205</v>
          </cell>
          <cell r="M589" t="str">
            <v>CENTRO</v>
          </cell>
          <cell r="N589" t="str">
            <v>CHAPADA DOS GUIMARAES</v>
          </cell>
          <cell r="O589" t="str">
            <v>MT</v>
          </cell>
          <cell r="Q589">
            <v>78195000</v>
          </cell>
          <cell r="R589">
            <v>170102220</v>
          </cell>
          <cell r="S589">
            <v>2</v>
          </cell>
          <cell r="T589">
            <v>2</v>
          </cell>
          <cell r="U589" t="str">
            <v>AntiFraude: Transações: 14 - Tarifa: R$ 0,5681 - Total: R$ 7,95 (Período de apuração: 01/08/2026 à 31/08/2026) Vencimento: 26/09/2026 Brazilian Tax Information: Valor estimado dos tributos IBS e CBS, conforme disposto no art. 12 da Lei Complementar nº 214/2025 (Reforma Tributária sobre Consumo): R$0.08 (1%)</v>
          </cell>
          <cell r="V589">
            <v>8.11</v>
          </cell>
          <cell r="W589">
            <v>0.16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8.11</v>
          </cell>
          <cell r="AC589">
            <v>0</v>
          </cell>
          <cell r="AD589">
            <v>0</v>
          </cell>
          <cell r="AE589" t="str">
            <v>Sim</v>
          </cell>
        </row>
        <row r="590">
          <cell r="F590">
            <v>122769</v>
          </cell>
          <cell r="G590">
            <v>237085</v>
          </cell>
          <cell r="H590">
            <v>30425132000126</v>
          </cell>
          <cell r="I590" t="str">
            <v>POUPE MAIS GERENCIAMENTO EMPRESARIAL LTDA</v>
          </cell>
          <cell r="J590" t="str">
            <v>RUA INOCENCIO BRAGA</v>
          </cell>
          <cell r="K590">
            <v>625</v>
          </cell>
          <cell r="M590" t="str">
            <v>CENTRO</v>
          </cell>
          <cell r="N590" t="str">
            <v>ITAPIPOCA</v>
          </cell>
          <cell r="O590" t="str">
            <v>CE</v>
          </cell>
          <cell r="Q590">
            <v>62500007</v>
          </cell>
          <cell r="R590">
            <v>170102220</v>
          </cell>
          <cell r="S590">
            <v>2</v>
          </cell>
          <cell r="T590">
            <v>2</v>
          </cell>
          <cell r="U590" t="str">
            <v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90">
            <v>5.21</v>
          </cell>
          <cell r="W590">
            <v>0.1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5.21</v>
          </cell>
          <cell r="AC590">
            <v>0</v>
          </cell>
          <cell r="AD590">
            <v>0</v>
          </cell>
          <cell r="AE590" t="str">
            <v>Sim</v>
          </cell>
        </row>
        <row r="591">
          <cell r="F591">
            <v>122770</v>
          </cell>
          <cell r="G591">
            <v>237105</v>
          </cell>
          <cell r="H591">
            <v>68765825000807</v>
          </cell>
          <cell r="I591" t="str">
            <v>PITUCHINHUS INDUSTRIA E COMERCIO DE CONFECCOES LTDA</v>
          </cell>
          <cell r="J591" t="str">
            <v>RUA PAPA JOAO XXIII</v>
          </cell>
          <cell r="K591" t="str">
            <v>2360A</v>
          </cell>
          <cell r="M591" t="str">
            <v>SAO FRANCISCO</v>
          </cell>
          <cell r="N591" t="str">
            <v>FARROUPILHA</v>
          </cell>
          <cell r="O591" t="str">
            <v>RS</v>
          </cell>
          <cell r="Q591">
            <v>95171000</v>
          </cell>
          <cell r="R591">
            <v>170102220</v>
          </cell>
          <cell r="S591">
            <v>2</v>
          </cell>
          <cell r="T591">
            <v>2</v>
          </cell>
          <cell r="U591" t="str">
            <v>AntiFraude: Transações: 895 - Total: R$ 2.526,35 (Cobrança pelo mínimo mensal) Analista de Risco: R$ 4.260,31 (Período de apuração: 01/08/2026 à 31/08/2026) Vencimento: 26/09/2026 Brazilian Tax Information: Valor estimado dos tributos IBS e CBS, conforme disposto no art. 12 da Lei Complementar nº 214/2025 (Reforma Tributária sobre Consumo): R$25.78 (1%)</v>
          </cell>
          <cell r="V591">
            <v>6925.17</v>
          </cell>
          <cell r="W591">
            <v>138.5</v>
          </cell>
          <cell r="X591">
            <v>103.88</v>
          </cell>
          <cell r="Y591">
            <v>45.02</v>
          </cell>
          <cell r="Z591">
            <v>207.76</v>
          </cell>
          <cell r="AA591">
            <v>69.25</v>
          </cell>
          <cell r="AB591">
            <v>6925.17</v>
          </cell>
          <cell r="AC591">
            <v>0</v>
          </cell>
          <cell r="AD591">
            <v>0</v>
          </cell>
          <cell r="AE591" t="str">
            <v>Sim</v>
          </cell>
        </row>
        <row r="592">
          <cell r="F592">
            <v>122771</v>
          </cell>
          <cell r="G592">
            <v>237097</v>
          </cell>
          <cell r="H592">
            <v>17185679000133</v>
          </cell>
          <cell r="I592" t="str">
            <v>OTHON DE CARVALHO E CIA LTDA</v>
          </cell>
          <cell r="J592" t="str">
            <v>RUA DOS TUPIS</v>
          </cell>
          <cell r="K592">
            <v>1325</v>
          </cell>
          <cell r="M592" t="str">
            <v>BARRO PRETO</v>
          </cell>
          <cell r="N592" t="str">
            <v>BELO HORIZONTE</v>
          </cell>
          <cell r="O592" t="str">
            <v>MG</v>
          </cell>
          <cell r="Q592">
            <v>30190062</v>
          </cell>
          <cell r="R592">
            <v>170102220</v>
          </cell>
          <cell r="S592">
            <v>2</v>
          </cell>
          <cell r="T592">
            <v>2</v>
          </cell>
          <cell r="U592" t="str">
            <v>AntiFraude: Transações: 0 - Total: R$ 349,11 (Cobrança pelo mínimo mensal) (Período de apuração: 01/08/2026 à 31/08/2026) Vencimento: 26/09/2026 Brazilian Tax Information: Valor estimado dos tributos IBS e CBS, conforme disposto no art. 12 da Lei Complementar nº 214/2025 (Reforma Tributária sobre Consumo): R$3.56 (1%)</v>
          </cell>
          <cell r="V592">
            <v>356.23</v>
          </cell>
          <cell r="W592">
            <v>7.12</v>
          </cell>
          <cell r="X592">
            <v>0</v>
          </cell>
          <cell r="Y592">
            <v>2.3199999999999998</v>
          </cell>
          <cell r="Z592">
            <v>10.69</v>
          </cell>
          <cell r="AA592">
            <v>3.56</v>
          </cell>
          <cell r="AB592">
            <v>356.23</v>
          </cell>
          <cell r="AC592">
            <v>0</v>
          </cell>
          <cell r="AD592">
            <v>0</v>
          </cell>
          <cell r="AE592" t="str">
            <v>Sim</v>
          </cell>
        </row>
        <row r="593">
          <cell r="F593">
            <v>122772</v>
          </cell>
          <cell r="G593">
            <v>237090</v>
          </cell>
          <cell r="H593">
            <v>39694852000161</v>
          </cell>
          <cell r="I593" t="str">
            <v>VF COMERCIAL LTDA</v>
          </cell>
          <cell r="J593" t="str">
            <v>RUA CORINTO BARBOSA LIMA</v>
          </cell>
          <cell r="K593">
            <v>82</v>
          </cell>
          <cell r="M593" t="str">
            <v>VILLAGE DA LUZ</v>
          </cell>
          <cell r="N593" t="str">
            <v>CACHOEIRO DE ITAPEMIRIM</v>
          </cell>
          <cell r="O593" t="str">
            <v>ES</v>
          </cell>
          <cell r="Q593">
            <v>29309415</v>
          </cell>
          <cell r="R593">
            <v>170102220</v>
          </cell>
          <cell r="S593">
            <v>2</v>
          </cell>
          <cell r="T593">
            <v>2</v>
          </cell>
          <cell r="U593" t="str">
            <v>AntiFraude: Transações: 0 - Total: R$ 174,56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v>
          </cell>
          <cell r="V593">
            <v>178.12</v>
          </cell>
          <cell r="W593">
            <v>3.56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178.12</v>
          </cell>
          <cell r="AC593">
            <v>0</v>
          </cell>
          <cell r="AD593">
            <v>0</v>
          </cell>
          <cell r="AE593" t="str">
            <v>Sim</v>
          </cell>
        </row>
        <row r="594">
          <cell r="F594">
            <v>122773</v>
          </cell>
          <cell r="G594">
            <v>237095</v>
          </cell>
          <cell r="H594">
            <v>35683675000167</v>
          </cell>
          <cell r="I594" t="str">
            <v>YUME SOLUCOES EM PAGAMENTOS LTDA</v>
          </cell>
          <cell r="J594" t="str">
            <v>RUA JOSE CARLOS SAMPAIO</v>
          </cell>
          <cell r="K594">
            <v>229</v>
          </cell>
          <cell r="M594" t="str">
            <v>CENTRO</v>
          </cell>
          <cell r="N594" t="str">
            <v>SENADOR POMPEU</v>
          </cell>
          <cell r="O594" t="str">
            <v>CE</v>
          </cell>
          <cell r="Q594">
            <v>63600000</v>
          </cell>
          <cell r="R594">
            <v>170102220</v>
          </cell>
          <cell r="S594">
            <v>2</v>
          </cell>
          <cell r="T594">
            <v>2</v>
          </cell>
          <cell r="U594" t="str">
            <v>AntiFraude: Transações: 0 - Total: R$ 6.222,40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R$63.49 (1%)</v>
          </cell>
          <cell r="V594">
            <v>6349.4</v>
          </cell>
          <cell r="W594">
            <v>126.99</v>
          </cell>
          <cell r="X594">
            <v>95.24</v>
          </cell>
          <cell r="Y594">
            <v>41.27</v>
          </cell>
          <cell r="Z594">
            <v>190.48</v>
          </cell>
          <cell r="AA594">
            <v>63.49</v>
          </cell>
          <cell r="AB594">
            <v>6349.4</v>
          </cell>
          <cell r="AC594">
            <v>0</v>
          </cell>
          <cell r="AD594">
            <v>0</v>
          </cell>
          <cell r="AE594" t="str">
            <v>Sim</v>
          </cell>
        </row>
        <row r="595">
          <cell r="F595">
            <v>122774</v>
          </cell>
          <cell r="G595">
            <v>237069</v>
          </cell>
          <cell r="H595">
            <v>50600904000126</v>
          </cell>
          <cell r="I595" t="str">
            <v>PAYZU PAGAMENTOS LTDA</v>
          </cell>
          <cell r="J595" t="str">
            <v>AVENIDA VINICIUS DE MORAES</v>
          </cell>
          <cell r="K595">
            <v>1400</v>
          </cell>
          <cell r="M595" t="str">
            <v>COLINA VERDE</v>
          </cell>
          <cell r="N595" t="str">
            <v>TEIXEIRA DE FREITAS</v>
          </cell>
          <cell r="O595" t="str">
            <v>BA</v>
          </cell>
          <cell r="Q595">
            <v>45987324</v>
          </cell>
          <cell r="R595">
            <v>170102220</v>
          </cell>
          <cell r="S595">
            <v>2</v>
          </cell>
          <cell r="T595">
            <v>2</v>
          </cell>
          <cell r="U595" t="str">
            <v>AntiFraude: Transações: 0 - Total: R$ 15.145,30 (Cobrança pelo mínimo mensal) Analista de Risco: R$ 20.073,94 (Período de apuração: 01/08/2026 à 31/08/2026) Vencimento: 26/09/2026 Brazilian Tax Information: Valor estimado dos tributos IBS e CBS, conforme disposto no art. 12 da Lei Complementar nº 214/2025 (Reforma Tributária sobre Consumo): R$154.54 (1%)</v>
          </cell>
          <cell r="V595">
            <v>35938</v>
          </cell>
          <cell r="W595">
            <v>718.76</v>
          </cell>
          <cell r="X595">
            <v>539.07000000000005</v>
          </cell>
          <cell r="Y595">
            <v>233.59</v>
          </cell>
          <cell r="Z595">
            <v>1078.1400000000001</v>
          </cell>
          <cell r="AA595">
            <v>359.38</v>
          </cell>
          <cell r="AB595">
            <v>35938</v>
          </cell>
          <cell r="AC595">
            <v>0</v>
          </cell>
          <cell r="AD595">
            <v>0</v>
          </cell>
          <cell r="AE595" t="str">
            <v>Sim</v>
          </cell>
        </row>
        <row r="596">
          <cell r="F596">
            <v>122775</v>
          </cell>
          <cell r="G596">
            <v>237132</v>
          </cell>
          <cell r="H596">
            <v>27933881000230</v>
          </cell>
          <cell r="I596" t="str">
            <v>SILVA &amp; SILVA DROGARIA LTDA</v>
          </cell>
          <cell r="J596" t="str">
            <v>RUA GERCINO PAIXAO</v>
          </cell>
          <cell r="K596">
            <v>1125</v>
          </cell>
          <cell r="M596" t="str">
            <v>CENTRO</v>
          </cell>
          <cell r="N596" t="str">
            <v>CONCEICAO DAS ALAGOAS</v>
          </cell>
          <cell r="O596" t="str">
            <v>MG</v>
          </cell>
          <cell r="Q596">
            <v>38120000</v>
          </cell>
          <cell r="R596">
            <v>170102220</v>
          </cell>
          <cell r="S596">
            <v>2</v>
          </cell>
          <cell r="T596">
            <v>2</v>
          </cell>
          <cell r="U596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96">
            <v>5.24</v>
          </cell>
          <cell r="W596">
            <v>0.1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5.24</v>
          </cell>
          <cell r="AC596">
            <v>0</v>
          </cell>
          <cell r="AD596">
            <v>0</v>
          </cell>
          <cell r="AE596" t="str">
            <v>Sim</v>
          </cell>
        </row>
        <row r="597">
          <cell r="F597">
            <v>122776</v>
          </cell>
          <cell r="G597">
            <v>237116</v>
          </cell>
          <cell r="H597">
            <v>82113515000162</v>
          </cell>
          <cell r="I597" t="str">
            <v>VOLPHI FARMACIA E DROGARIA LTDA</v>
          </cell>
          <cell r="J597" t="str">
            <v>RUA HERMANN TRIBESS</v>
          </cell>
          <cell r="K597">
            <v>1679</v>
          </cell>
          <cell r="L597" t="str">
            <v>LOJA FAMAC IA</v>
          </cell>
          <cell r="M597" t="str">
            <v>TRIBESS</v>
          </cell>
          <cell r="N597" t="str">
            <v>BLUMENAU</v>
          </cell>
          <cell r="O597" t="str">
            <v>SC</v>
          </cell>
          <cell r="Q597">
            <v>89057473</v>
          </cell>
          <cell r="R597">
            <v>170102220</v>
          </cell>
          <cell r="S597">
            <v>2</v>
          </cell>
          <cell r="T597">
            <v>2</v>
          </cell>
          <cell r="U597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97">
            <v>5.24</v>
          </cell>
          <cell r="W597">
            <v>0.1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5.24</v>
          </cell>
          <cell r="AC597">
            <v>0</v>
          </cell>
          <cell r="AD597">
            <v>0</v>
          </cell>
          <cell r="AE597" t="str">
            <v>Sim</v>
          </cell>
        </row>
        <row r="598">
          <cell r="F598">
            <v>122777</v>
          </cell>
          <cell r="G598">
            <v>237124</v>
          </cell>
          <cell r="H598">
            <v>46801973002093</v>
          </cell>
          <cell r="I598" t="str">
            <v>TEXTIL ABRIL LTDA</v>
          </cell>
          <cell r="J598" t="str">
            <v>RUA SILVA TELES</v>
          </cell>
          <cell r="K598">
            <v>695</v>
          </cell>
          <cell r="M598" t="str">
            <v>PARI</v>
          </cell>
          <cell r="N598" t="str">
            <v>SAO PAULO</v>
          </cell>
          <cell r="O598" t="str">
            <v>SP</v>
          </cell>
          <cell r="Q598">
            <v>3026001</v>
          </cell>
          <cell r="R598">
            <v>170102220</v>
          </cell>
          <cell r="S598">
            <v>2</v>
          </cell>
          <cell r="T598">
            <v>2</v>
          </cell>
          <cell r="U598" t="str">
            <v>AntiFraude: Transações: 0 - Total: R$ 396,00 (Cobrança pelo mínimo mensal) (Período de apuração: 01/08/2026 à 31/08/2026) Vencimento: 11/10/2026 Brazilian Tax Information: Valor estimado dos tributos IBS e CBS, conforme disposto no art. 12 da Lei Complementar nº 214/2025 (Reforma Tributária sobre Consumo): R$4.04 (1%)</v>
          </cell>
          <cell r="V598">
            <v>404.08</v>
          </cell>
          <cell r="W598">
            <v>8.08</v>
          </cell>
          <cell r="X598">
            <v>0</v>
          </cell>
          <cell r="Y598">
            <v>2.63</v>
          </cell>
          <cell r="Z598">
            <v>12.12</v>
          </cell>
          <cell r="AA598">
            <v>4.04</v>
          </cell>
          <cell r="AB598">
            <v>404.08</v>
          </cell>
          <cell r="AC598">
            <v>0</v>
          </cell>
          <cell r="AD598">
            <v>0</v>
          </cell>
          <cell r="AE598" t="str">
            <v>Sim</v>
          </cell>
        </row>
        <row r="599">
          <cell r="F599">
            <v>122778</v>
          </cell>
          <cell r="G599">
            <v>237131</v>
          </cell>
          <cell r="H599">
            <v>12821655000100</v>
          </cell>
          <cell r="I599" t="str">
            <v>SUL FORTALEZA COMERCIO FARMACEUTICO LTDA</v>
          </cell>
          <cell r="J599" t="str">
            <v>RUA FRANCISCO VAHLDIECK</v>
          </cell>
          <cell r="K599">
            <v>686</v>
          </cell>
          <cell r="L599" t="str">
            <v>SALA 01</v>
          </cell>
          <cell r="M599" t="str">
            <v>FORTALEZA</v>
          </cell>
          <cell r="N599" t="str">
            <v>BLUMENAU</v>
          </cell>
          <cell r="O599" t="str">
            <v>SC</v>
          </cell>
          <cell r="Q599">
            <v>89056000</v>
          </cell>
          <cell r="R599">
            <v>170102220</v>
          </cell>
          <cell r="S599">
            <v>2</v>
          </cell>
          <cell r="T599">
            <v>2</v>
          </cell>
          <cell r="U599" t="str">
            <v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599">
            <v>5.24</v>
          </cell>
          <cell r="W599">
            <v>0.1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5.24</v>
          </cell>
          <cell r="AC599">
            <v>0</v>
          </cell>
          <cell r="AD599">
            <v>0</v>
          </cell>
          <cell r="AE599" t="str">
            <v>Sim</v>
          </cell>
        </row>
        <row r="600">
          <cell r="F600">
            <v>122779</v>
          </cell>
          <cell r="G600">
            <v>237114</v>
          </cell>
          <cell r="H600">
            <v>60858673000109</v>
          </cell>
          <cell r="I600" t="str">
            <v>TARASA BRASIL IMPORTACAO E COMERCIALIZACAO DE BEBIDAS LTDA</v>
          </cell>
          <cell r="J600" t="str">
            <v>AVENIDA JOAO PINTO</v>
          </cell>
          <cell r="K600">
            <v>1026</v>
          </cell>
          <cell r="M600" t="str">
            <v>DISTRITO INDUSTRIAL I JOSE MARANGONI</v>
          </cell>
          <cell r="N600" t="str">
            <v>MOGI MIRIM</v>
          </cell>
          <cell r="O600" t="str">
            <v>SP</v>
          </cell>
          <cell r="Q600">
            <v>13803360</v>
          </cell>
          <cell r="R600">
            <v>170102220</v>
          </cell>
          <cell r="S600">
            <v>2</v>
          </cell>
          <cell r="T600">
            <v>2</v>
          </cell>
          <cell r="U600" t="str">
            <v>AntiFraude: Transações: 0 -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R$1.92 (1%)</v>
          </cell>
          <cell r="V600">
            <v>191.84</v>
          </cell>
          <cell r="W600">
            <v>3.84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191.84</v>
          </cell>
          <cell r="AC600">
            <v>0</v>
          </cell>
          <cell r="AD600">
            <v>0</v>
          </cell>
          <cell r="AE600" t="str">
            <v>Sim</v>
          </cell>
        </row>
        <row r="601">
          <cell r="F601">
            <v>122780</v>
          </cell>
          <cell r="G601">
            <v>237155</v>
          </cell>
          <cell r="H601">
            <v>60829684000160</v>
          </cell>
          <cell r="I601" t="str">
            <v>TRANZZY INTERMEDIACOES LTDA</v>
          </cell>
          <cell r="J601" t="str">
            <v>DOUTOR ORLANDO FEIRABEND FILHO</v>
          </cell>
          <cell r="K601">
            <v>0</v>
          </cell>
          <cell r="M601" t="str">
            <v>PARQUE RESIDENCIAL AQUARIUS</v>
          </cell>
          <cell r="N601" t="str">
            <v>SAO JOSE DOS CAMPOS</v>
          </cell>
          <cell r="O601" t="str">
            <v>SP</v>
          </cell>
          <cell r="Q601">
            <v>12246190</v>
          </cell>
          <cell r="R601">
            <v>170102220</v>
          </cell>
          <cell r="S601">
            <v>2</v>
          </cell>
          <cell r="T601">
            <v>2</v>
          </cell>
          <cell r="U601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601">
            <v>222.45</v>
          </cell>
          <cell r="W601">
            <v>4.45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222.45</v>
          </cell>
          <cell r="AC601">
            <v>0</v>
          </cell>
          <cell r="AD601">
            <v>0</v>
          </cell>
          <cell r="AE601" t="str">
            <v>Sim</v>
          </cell>
        </row>
        <row r="602">
          <cell r="F602">
            <v>122781</v>
          </cell>
          <cell r="G602">
            <v>237153</v>
          </cell>
          <cell r="H602">
            <v>43940210000172</v>
          </cell>
          <cell r="I602" t="str">
            <v>PAOLA SANCHES VARGAS CONTERATO</v>
          </cell>
          <cell r="J602" t="str">
            <v>RUA BRASIL</v>
          </cell>
          <cell r="K602">
            <v>1222</v>
          </cell>
          <cell r="M602" t="str">
            <v>CENTRO</v>
          </cell>
          <cell r="N602" t="str">
            <v>SAO VICENTE DO SUL</v>
          </cell>
          <cell r="O602" t="str">
            <v>RS</v>
          </cell>
          <cell r="Q602">
            <v>97420000</v>
          </cell>
          <cell r="R602">
            <v>170102220</v>
          </cell>
          <cell r="S602">
            <v>2</v>
          </cell>
          <cell r="T602">
            <v>2</v>
          </cell>
          <cell r="U602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2">
            <v>5.14</v>
          </cell>
          <cell r="W602">
            <v>0.1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5.14</v>
          </cell>
          <cell r="AC602">
            <v>0</v>
          </cell>
          <cell r="AD602">
            <v>0</v>
          </cell>
          <cell r="AE602" t="str">
            <v>Sim</v>
          </cell>
        </row>
        <row r="603">
          <cell r="F603">
            <v>122782</v>
          </cell>
          <cell r="G603">
            <v>237144</v>
          </cell>
          <cell r="H603">
            <v>4878620000189</v>
          </cell>
          <cell r="I603" t="str">
            <v>ZK FERREIRA DROGARIAS LTDA.</v>
          </cell>
          <cell r="J603" t="str">
            <v>AVENIDA ADOLFO TISKOSKI</v>
          </cell>
          <cell r="K603">
            <v>320</v>
          </cell>
          <cell r="M603" t="str">
            <v>JANUARIA</v>
          </cell>
          <cell r="N603" t="str">
            <v>SOMBRIO</v>
          </cell>
          <cell r="O603" t="str">
            <v>SC</v>
          </cell>
          <cell r="Q603">
            <v>88960000</v>
          </cell>
          <cell r="R603">
            <v>170102220</v>
          </cell>
          <cell r="S603">
            <v>2</v>
          </cell>
          <cell r="T603">
            <v>2</v>
          </cell>
          <cell r="U603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3">
            <v>5.14</v>
          </cell>
          <cell r="W603">
            <v>0.1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5.14</v>
          </cell>
          <cell r="AC603">
            <v>0</v>
          </cell>
          <cell r="AD603">
            <v>0</v>
          </cell>
          <cell r="AE603" t="str">
            <v>Sim</v>
          </cell>
        </row>
        <row r="604">
          <cell r="F604">
            <v>122783</v>
          </cell>
          <cell r="G604">
            <v>237197</v>
          </cell>
          <cell r="H604">
            <v>3708173000157</v>
          </cell>
          <cell r="I604" t="str">
            <v>SANTOS &amp; SOARES DROGARIA LTDA</v>
          </cell>
          <cell r="J604" t="str">
            <v>RUA TULIO TAQUES DE LEMOS</v>
          </cell>
          <cell r="K604">
            <v>370</v>
          </cell>
          <cell r="M604" t="str">
            <v>PQ DAS NACOES</v>
          </cell>
          <cell r="N604" t="str">
            <v>LIMEIRA</v>
          </cell>
          <cell r="O604" t="str">
            <v>SP</v>
          </cell>
          <cell r="Q604">
            <v>13481035</v>
          </cell>
          <cell r="R604">
            <v>170102220</v>
          </cell>
          <cell r="S604">
            <v>2</v>
          </cell>
          <cell r="T604">
            <v>2</v>
          </cell>
          <cell r="U604" t="str">
            <v>AntiFraude: Transações: 10 - Tarifa: R$ 0,5600 - Total: R$ 5,60 (Período de apuração: 01/08/2026 à 31/08/2026) Vencimento: 26/09/2026 Brazilian Tax Information: Valor estimado dos tributos IBS e CBS, conforme disposto no art. 12 da Lei Complementar nº 214/2025 (Reforma Tributária sobre Consumo): R$0.06 (1%)</v>
          </cell>
          <cell r="V604">
            <v>5.71</v>
          </cell>
          <cell r="W604">
            <v>0.11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5.71</v>
          </cell>
          <cell r="AC604">
            <v>0</v>
          </cell>
          <cell r="AD604">
            <v>0</v>
          </cell>
          <cell r="AE604" t="str">
            <v>Sim</v>
          </cell>
        </row>
        <row r="605">
          <cell r="F605">
            <v>122784</v>
          </cell>
          <cell r="G605">
            <v>237162</v>
          </cell>
          <cell r="H605">
            <v>14300953000180</v>
          </cell>
          <cell r="I605" t="str">
            <v>POFFO COMERCIO DE PRODUTOS FARMACEUTICOS LTDA</v>
          </cell>
          <cell r="J605" t="str">
            <v>RUA 14 DE FEVEREIRO</v>
          </cell>
          <cell r="K605">
            <v>225</v>
          </cell>
          <cell r="L605" t="str">
            <v>SALA</v>
          </cell>
          <cell r="M605" t="str">
            <v>CENTRO</v>
          </cell>
          <cell r="N605" t="str">
            <v>ITUPORANGA</v>
          </cell>
          <cell r="O605" t="str">
            <v>SC</v>
          </cell>
          <cell r="Q605">
            <v>88400000</v>
          </cell>
          <cell r="R605">
            <v>170102220</v>
          </cell>
          <cell r="S605">
            <v>2</v>
          </cell>
          <cell r="T605">
            <v>2</v>
          </cell>
          <cell r="U605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5">
            <v>5.14</v>
          </cell>
          <cell r="W605">
            <v>0.1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5.14</v>
          </cell>
          <cell r="AC605">
            <v>0</v>
          </cell>
          <cell r="AD605">
            <v>0</v>
          </cell>
          <cell r="AE605" t="str">
            <v>Sim</v>
          </cell>
        </row>
        <row r="606">
          <cell r="F606">
            <v>122785</v>
          </cell>
          <cell r="G606">
            <v>237195</v>
          </cell>
          <cell r="H606">
            <v>7750733000192</v>
          </cell>
          <cell r="I606" t="str">
            <v>VIDA FARMACIAS COLINA SORRISO COMERE MEDICAMENTOS LTDA</v>
          </cell>
          <cell r="J606" t="str">
            <v>DOUTOR EMILIO ATALIBA FINGER</v>
          </cell>
          <cell r="K606">
            <v>0</v>
          </cell>
          <cell r="M606" t="str">
            <v>NOSSA SENHORA DA SAUDE</v>
          </cell>
          <cell r="N606" t="str">
            <v>CAXIAS DO SUL</v>
          </cell>
          <cell r="O606" t="str">
            <v>RS</v>
          </cell>
          <cell r="Q606">
            <v>95032470</v>
          </cell>
          <cell r="R606">
            <v>170102220</v>
          </cell>
          <cell r="S606">
            <v>2</v>
          </cell>
          <cell r="T606">
            <v>2</v>
          </cell>
          <cell r="U606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6">
            <v>5.14</v>
          </cell>
          <cell r="W606">
            <v>0.1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5.14</v>
          </cell>
          <cell r="AC606">
            <v>0</v>
          </cell>
          <cell r="AD606">
            <v>0</v>
          </cell>
          <cell r="AE606" t="str">
            <v>Sim</v>
          </cell>
        </row>
        <row r="607">
          <cell r="F607">
            <v>122786</v>
          </cell>
          <cell r="G607">
            <v>237180</v>
          </cell>
          <cell r="H607">
            <v>13740028000107</v>
          </cell>
          <cell r="I607" t="str">
            <v>RM3 DROGARIA LTDA</v>
          </cell>
          <cell r="J607" t="str">
            <v>AVENIDA MARIA THEREZA SILVEIRA DE BARROS CAMARGO</v>
          </cell>
          <cell r="K607">
            <v>330</v>
          </cell>
          <cell r="M607" t="str">
            <v>JARDIM AQUARIUS</v>
          </cell>
          <cell r="N607" t="str">
            <v>LIMEIRA</v>
          </cell>
          <cell r="O607" t="str">
            <v>SP</v>
          </cell>
          <cell r="Q607">
            <v>13484270</v>
          </cell>
          <cell r="R607">
            <v>170102220</v>
          </cell>
          <cell r="S607">
            <v>2</v>
          </cell>
          <cell r="T607">
            <v>2</v>
          </cell>
          <cell r="U607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7">
            <v>5.14</v>
          </cell>
          <cell r="W607">
            <v>0.1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5.14</v>
          </cell>
          <cell r="AC607">
            <v>0</v>
          </cell>
          <cell r="AD607">
            <v>0</v>
          </cell>
          <cell r="AE607" t="str">
            <v>Sim</v>
          </cell>
        </row>
        <row r="608">
          <cell r="F608">
            <v>122787</v>
          </cell>
          <cell r="G608">
            <v>237156</v>
          </cell>
          <cell r="H608">
            <v>82682584000197</v>
          </cell>
          <cell r="I608" t="str">
            <v>TADEU IMOTO &amp; CIA LTDA</v>
          </cell>
          <cell r="J608" t="str">
            <v>AVENIDA ABELIO BENATTI</v>
          </cell>
          <cell r="K608" t="str">
            <v>4026W</v>
          </cell>
          <cell r="M608" t="str">
            <v>JD. DO SOL</v>
          </cell>
          <cell r="N608" t="str">
            <v>LONDRINA</v>
          </cell>
          <cell r="O608" t="str">
            <v>PR</v>
          </cell>
          <cell r="Q608">
            <v>86070370</v>
          </cell>
          <cell r="R608">
            <v>170102220</v>
          </cell>
          <cell r="S608">
            <v>2</v>
          </cell>
          <cell r="T608">
            <v>2</v>
          </cell>
          <cell r="U608" t="str">
            <v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08">
            <v>5.14</v>
          </cell>
          <cell r="W608">
            <v>0.1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5.14</v>
          </cell>
          <cell r="AC608">
            <v>0</v>
          </cell>
          <cell r="AD608">
            <v>0</v>
          </cell>
          <cell r="AE608" t="str">
            <v>Sim</v>
          </cell>
        </row>
        <row r="609">
          <cell r="F609">
            <v>122788</v>
          </cell>
          <cell r="G609">
            <v>237172</v>
          </cell>
          <cell r="H609">
            <v>4114403000112</v>
          </cell>
          <cell r="I609" t="str">
            <v>PINHO SANTOS &amp; CIA LTDA</v>
          </cell>
          <cell r="J609" t="str">
            <v>AVENIDA MARECHAL RONDON</v>
          </cell>
          <cell r="K609">
            <v>1805</v>
          </cell>
          <cell r="M609" t="str">
            <v>CENTRO</v>
          </cell>
          <cell r="N609" t="str">
            <v>PONTES E LACERDA</v>
          </cell>
          <cell r="O609" t="str">
            <v>MT</v>
          </cell>
          <cell r="Q609">
            <v>78250000</v>
          </cell>
          <cell r="R609">
            <v>170102220</v>
          </cell>
          <cell r="S609">
            <v>2</v>
          </cell>
          <cell r="T609">
            <v>2</v>
          </cell>
          <cell r="U609" t="str">
            <v>AntiFraude: Transações: 53 - Tarifa: R$ 0,5600 - Total: R$ 29,68 (Período de apuração: 01/08/2026 à 31/08/2026) Vencimento: 26/09/2026 Brazilian Tax Information: Valor estimado dos tributos IBS e CBS, conforme disposto no art. 12 da Lei Complementar nº 214/2025 (Reforma Tributária sobre Consumo): R$0.30 (1%)</v>
          </cell>
          <cell r="V609">
            <v>30.29</v>
          </cell>
          <cell r="W609">
            <v>0.61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30.29</v>
          </cell>
          <cell r="AC609">
            <v>0</v>
          </cell>
          <cell r="AD609">
            <v>0</v>
          </cell>
          <cell r="AE609" t="str">
            <v>Sim</v>
          </cell>
        </row>
        <row r="610">
          <cell r="F610">
            <v>122789</v>
          </cell>
          <cell r="G610">
            <v>237168</v>
          </cell>
          <cell r="H610">
            <v>57225538000111</v>
          </cell>
          <cell r="I610" t="str">
            <v>PAYOUT PAGAMENTOS INTELIGENTES LTDA</v>
          </cell>
          <cell r="J610" t="str">
            <v>ALAMEDA RIO NEGRO</v>
          </cell>
          <cell r="K610">
            <v>503</v>
          </cell>
          <cell r="L610" t="str">
            <v>SALA 2020</v>
          </cell>
          <cell r="M610" t="str">
            <v>ALPHAVILLE CENTRO INDUSTRIAL E EMPRESARI</v>
          </cell>
          <cell r="N610" t="str">
            <v>BARUERI</v>
          </cell>
          <cell r="O610" t="str">
            <v>SP</v>
          </cell>
          <cell r="Q610">
            <v>6454000</v>
          </cell>
          <cell r="R610">
            <v>170102220</v>
          </cell>
          <cell r="S610">
            <v>2</v>
          </cell>
          <cell r="T610">
            <v>2</v>
          </cell>
          <cell r="U610" t="str">
            <v>AntiFraude: Transações: 0 - Total: R$ 197,99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R$2.02 (1%)</v>
          </cell>
          <cell r="V610">
            <v>202.04</v>
          </cell>
          <cell r="W610">
            <v>4.04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202.04</v>
          </cell>
          <cell r="AC610">
            <v>0</v>
          </cell>
          <cell r="AD610">
            <v>0</v>
          </cell>
          <cell r="AE610" t="str">
            <v>Sim</v>
          </cell>
        </row>
        <row r="611">
          <cell r="F611">
            <v>122790</v>
          </cell>
          <cell r="G611">
            <v>237175</v>
          </cell>
          <cell r="H611">
            <v>57897464000160</v>
          </cell>
          <cell r="I611" t="str">
            <v>VITAL FARMA ITAPEVA LTDA.</v>
          </cell>
          <cell r="J611" t="str">
            <v>DR PINHEIRO</v>
          </cell>
          <cell r="K611">
            <v>0</v>
          </cell>
          <cell r="M611" t="str">
            <v>CENTRO</v>
          </cell>
          <cell r="N611" t="str">
            <v>ITAPEVA</v>
          </cell>
          <cell r="O611" t="str">
            <v>SP</v>
          </cell>
          <cell r="Q611">
            <v>18400005</v>
          </cell>
          <cell r="R611">
            <v>170102220</v>
          </cell>
          <cell r="S611">
            <v>2</v>
          </cell>
          <cell r="T611">
            <v>2</v>
          </cell>
          <cell r="U611" t="str">
            <v>AntiFraude: Transações: 31 - Tarifa: R$ 0,5600 - Total: R$ 17,36 (Período de apuração: 01/08/2026 à 31/08/2026) Vencimento: 19/09/2026 Brazilian Tax Information: Valor estimado dos tributos IBS e CBS, conforme disposto no art. 12 da Lei Complementar nº 214/2025 (Reforma Tributária sobre Consumo): R$0.18 (1%)</v>
          </cell>
          <cell r="V611">
            <v>17.71</v>
          </cell>
          <cell r="W611">
            <v>0.35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17.71</v>
          </cell>
          <cell r="AC611">
            <v>0</v>
          </cell>
          <cell r="AD611">
            <v>0</v>
          </cell>
          <cell r="AE611" t="str">
            <v>Sim</v>
          </cell>
        </row>
        <row r="612">
          <cell r="F612">
            <v>122791</v>
          </cell>
          <cell r="G612">
            <v>237167</v>
          </cell>
          <cell r="H612">
            <v>8582640000169</v>
          </cell>
          <cell r="I612" t="str">
            <v>SJM COMERCIO DE MEDICAMENTOS E PERFUMARIA LTDA</v>
          </cell>
          <cell r="J612" t="str">
            <v>AVENIDA PIRAPO</v>
          </cell>
          <cell r="K612">
            <v>70</v>
          </cell>
          <cell r="M612" t="str">
            <v>BARRA FUNDA</v>
          </cell>
          <cell r="N612" t="str">
            <v>APUCARANA</v>
          </cell>
          <cell r="O612" t="str">
            <v>PR</v>
          </cell>
          <cell r="Q612">
            <v>86800500</v>
          </cell>
          <cell r="R612">
            <v>170102220</v>
          </cell>
          <cell r="S612">
            <v>2</v>
          </cell>
          <cell r="T612">
            <v>2</v>
          </cell>
          <cell r="U612" t="str">
            <v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v>
          </cell>
          <cell r="V612">
            <v>5.14</v>
          </cell>
          <cell r="W612">
            <v>0.1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5.14</v>
          </cell>
          <cell r="AC612">
            <v>0</v>
          </cell>
          <cell r="AD612">
            <v>0</v>
          </cell>
          <cell r="AE612" t="str">
            <v>Sim</v>
          </cell>
        </row>
        <row r="613">
          <cell r="F613">
            <v>122792</v>
          </cell>
          <cell r="G613">
            <v>237182</v>
          </cell>
          <cell r="H613">
            <v>53471075000117</v>
          </cell>
          <cell r="I613" t="str">
            <v>PIXINTEGRA SOLUCAO E INTERMEDIACAODE NEGOCIOS LTDA</v>
          </cell>
          <cell r="J613" t="str">
            <v>RUA BARAO DE MESQUITA</v>
          </cell>
          <cell r="K613">
            <v>72</v>
          </cell>
          <cell r="L613" t="str">
            <v>C6APT81O1E 2O1</v>
          </cell>
          <cell r="M613" t="str">
            <v>TIJUCA</v>
          </cell>
          <cell r="N613" t="str">
            <v>RIO DE JANEIRO</v>
          </cell>
          <cell r="O613" t="str">
            <v>RJ</v>
          </cell>
          <cell r="Q613">
            <v>20540006</v>
          </cell>
          <cell r="R613">
            <v>170102220</v>
          </cell>
          <cell r="S613">
            <v>2</v>
          </cell>
          <cell r="T613">
            <v>2</v>
          </cell>
          <cell r="U613" t="str">
            <v>AntiFraude: Transações: 0 - Total: R$ 1.600,00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R$16.33 (1%)</v>
          </cell>
          <cell r="V613">
            <v>1632.65</v>
          </cell>
          <cell r="W613">
            <v>32.65</v>
          </cell>
          <cell r="X613">
            <v>24.49</v>
          </cell>
          <cell r="Y613">
            <v>0</v>
          </cell>
          <cell r="Z613">
            <v>0</v>
          </cell>
          <cell r="AA613">
            <v>0</v>
          </cell>
          <cell r="AB613">
            <v>1632.65</v>
          </cell>
          <cell r="AC613">
            <v>0</v>
          </cell>
          <cell r="AD613">
            <v>0</v>
          </cell>
          <cell r="AE613" t="str">
            <v>Sim</v>
          </cell>
        </row>
        <row r="614">
          <cell r="F614">
            <v>122793</v>
          </cell>
          <cell r="G614">
            <v>237160</v>
          </cell>
          <cell r="H614">
            <v>8741899000105</v>
          </cell>
          <cell r="I614" t="str">
            <v>RR SHOES COMERCIO E FABRICACAO DE CALCADOS LTDA</v>
          </cell>
          <cell r="J614" t="str">
            <v>RUA ANGELO TEDESCO</v>
          </cell>
          <cell r="K614">
            <v>910</v>
          </cell>
          <cell r="M614" t="str">
            <v>JAU</v>
          </cell>
          <cell r="N614" t="str">
            <v>SANTO ANTONIO DA PATRULHA</v>
          </cell>
          <cell r="O614" t="str">
            <v>RS</v>
          </cell>
          <cell r="Q614">
            <v>95500000</v>
          </cell>
          <cell r="R614">
            <v>170102220</v>
          </cell>
          <cell r="S614">
            <v>2</v>
          </cell>
          <cell r="T614">
            <v>2</v>
          </cell>
          <cell r="U614" t="str">
            <v>AntiFraude: Transações: 0 - Total: R$ 194,00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v>
          </cell>
          <cell r="V614">
            <v>197.96</v>
          </cell>
          <cell r="W614">
            <v>3.96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197.96</v>
          </cell>
          <cell r="AC614">
            <v>0</v>
          </cell>
          <cell r="AD614">
            <v>0</v>
          </cell>
          <cell r="AE614" t="str">
            <v>Sim</v>
          </cell>
        </row>
        <row r="615">
          <cell r="F615">
            <v>122794</v>
          </cell>
          <cell r="G615">
            <v>237193</v>
          </cell>
          <cell r="H615">
            <v>13852483000102</v>
          </cell>
          <cell r="I615" t="str">
            <v>PAGUE PLAY LTDA</v>
          </cell>
          <cell r="J615" t="str">
            <v>AVENIDA EUGENIO CONEGLIAN</v>
          </cell>
          <cell r="K615">
            <v>2636</v>
          </cell>
          <cell r="M615" t="str">
            <v>DISTRITO INDUSTRIAL</v>
          </cell>
          <cell r="N615" t="str">
            <v>MARILIA</v>
          </cell>
          <cell r="O615" t="str">
            <v>SP</v>
          </cell>
          <cell r="Q615">
            <v>17512050</v>
          </cell>
          <cell r="R615">
            <v>170102220</v>
          </cell>
          <cell r="S615">
            <v>2</v>
          </cell>
          <cell r="T615">
            <v>2</v>
          </cell>
          <cell r="U615" t="str">
            <v>AntiFraude: Transações: 0 -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v>
          </cell>
          <cell r="V615">
            <v>155.1</v>
          </cell>
          <cell r="W615">
            <v>3.1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155.1</v>
          </cell>
          <cell r="AC615">
            <v>0</v>
          </cell>
          <cell r="AD615">
            <v>0</v>
          </cell>
          <cell r="AE615" t="str">
            <v>Sim</v>
          </cell>
        </row>
        <row r="616">
          <cell r="F616">
            <v>122795</v>
          </cell>
          <cell r="G616">
            <v>237169</v>
          </cell>
          <cell r="H616">
            <v>27550193002154</v>
          </cell>
          <cell r="I616" t="str">
            <v>OTICAS PARIS LTDA</v>
          </cell>
          <cell r="J616" t="str">
            <v>RUA DESEMBARGADOR FERREIRA COELHO</v>
          </cell>
          <cell r="K616">
            <v>335</v>
          </cell>
          <cell r="L616" t="str">
            <v>SALA 902</v>
          </cell>
          <cell r="M616" t="str">
            <v>PRAIA DO SUA</v>
          </cell>
          <cell r="N616" t="str">
            <v>VITORIA</v>
          </cell>
          <cell r="O616" t="str">
            <v>ES</v>
          </cell>
          <cell r="Q616">
            <v>29052210</v>
          </cell>
          <cell r="R616">
            <v>170102220</v>
          </cell>
          <cell r="S616">
            <v>2</v>
          </cell>
          <cell r="T616">
            <v>2</v>
          </cell>
          <cell r="U616" t="str">
            <v>AntiFraude: Transações: 7 - Total: R$ 1.460,00 (Cobrança pelo mínimo mensal) (Período de apuração: 01/08/2026 à 31/08/2026) Vencimento: 11/10/2026 Brazilian Tax Information: Valor estimado dos tributos IBS e CBS, conforme disposto no art. 12 da Lei Complementar nº 214/2025 (Reforma Tributária sobre Consumo): R$14.90 (1%)</v>
          </cell>
          <cell r="V616">
            <v>1489.8</v>
          </cell>
          <cell r="W616">
            <v>29.8</v>
          </cell>
          <cell r="X616">
            <v>22.35</v>
          </cell>
          <cell r="Y616">
            <v>9.68</v>
          </cell>
          <cell r="Z616">
            <v>44.69</v>
          </cell>
          <cell r="AA616">
            <v>14.9</v>
          </cell>
          <cell r="AB616">
            <v>1489.8</v>
          </cell>
          <cell r="AC616">
            <v>0</v>
          </cell>
          <cell r="AD616">
            <v>0</v>
          </cell>
          <cell r="AE616" t="str">
            <v>Sim</v>
          </cell>
        </row>
        <row r="617">
          <cell r="F617">
            <v>122796</v>
          </cell>
          <cell r="G617">
            <v>237251</v>
          </cell>
          <cell r="H617">
            <v>58403242000106</v>
          </cell>
          <cell r="I617" t="str">
            <v>VANGUARD FARMA LTDA</v>
          </cell>
          <cell r="J617" t="str">
            <v>BARAO DE LORETO</v>
          </cell>
          <cell r="K617">
            <v>0</v>
          </cell>
          <cell r="M617" t="str">
            <v>GRACA</v>
          </cell>
          <cell r="N617" t="str">
            <v>SALVADOR</v>
          </cell>
          <cell r="O617" t="str">
            <v>BA</v>
          </cell>
          <cell r="Q617">
            <v>40150270</v>
          </cell>
          <cell r="R617">
            <v>170102220</v>
          </cell>
          <cell r="S617">
            <v>2</v>
          </cell>
          <cell r="T617">
            <v>2</v>
          </cell>
          <cell r="U617" t="str">
            <v>AntiFraude: Transações: 0 - Total: R$ 210,00 (Cobrança pelo mínimo mensal) (Período de apuração: 01/08/2026 à 31/08/2026) Vencimento: 19/09/2026 Brazilian Tax Information: Valor estimado dos tributos IBS e CBS, conforme disposto no art. 12 da Lei Complementar nº 214/2025 (Reforma Tributária sobre Consumo): R$2.14 (1%)</v>
          </cell>
          <cell r="V617">
            <v>214.29</v>
          </cell>
          <cell r="W617">
            <v>4.29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214.29</v>
          </cell>
          <cell r="AC617">
            <v>0</v>
          </cell>
          <cell r="AD617">
            <v>0</v>
          </cell>
          <cell r="AE617" t="str">
            <v>Sim</v>
          </cell>
        </row>
        <row r="618">
          <cell r="F618">
            <v>122797</v>
          </cell>
          <cell r="G618">
            <v>237218</v>
          </cell>
          <cell r="H618">
            <v>26951807000101</v>
          </cell>
          <cell r="I618" t="str">
            <v>TRIANGULO DROGARIA LTDA.</v>
          </cell>
          <cell r="J618" t="str">
            <v>FOLHA 28 QUADRA 10 LOTE B 03</v>
          </cell>
          <cell r="K618">
            <v>0</v>
          </cell>
          <cell r="M618" t="str">
            <v>NOVA MARABA</v>
          </cell>
          <cell r="N618" t="str">
            <v>MARABA</v>
          </cell>
          <cell r="O618" t="str">
            <v>PA</v>
          </cell>
          <cell r="Q618">
            <v>68506100</v>
          </cell>
          <cell r="R618">
            <v>170102220</v>
          </cell>
          <cell r="S618">
            <v>2</v>
          </cell>
          <cell r="T618">
            <v>2</v>
          </cell>
          <cell r="U618" t="str">
            <v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618">
            <v>5.14</v>
          </cell>
          <cell r="W618">
            <v>0.1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5.14</v>
          </cell>
          <cell r="AC618">
            <v>0</v>
          </cell>
          <cell r="AD618">
            <v>0</v>
          </cell>
          <cell r="AE618" t="str">
            <v>Sim</v>
          </cell>
        </row>
        <row r="619">
          <cell r="F619">
            <v>122798</v>
          </cell>
          <cell r="G619">
            <v>237243</v>
          </cell>
          <cell r="H619">
            <v>54721146000155</v>
          </cell>
          <cell r="I619" t="str">
            <v>PAY PAGAMENTOS SEGURO LTDA</v>
          </cell>
          <cell r="J619" t="str">
            <v>RUA RIO GRANDE DO NORTE</v>
          </cell>
          <cell r="K619">
            <v>1435</v>
          </cell>
          <cell r="L619" t="str">
            <v>SALA 708P AVLH 7</v>
          </cell>
          <cell r="M619" t="str">
            <v>SAVASSI</v>
          </cell>
          <cell r="N619" t="str">
            <v>BELO HORIZONTE</v>
          </cell>
          <cell r="O619" t="str">
            <v>MG</v>
          </cell>
          <cell r="Q619">
            <v>30130138</v>
          </cell>
          <cell r="R619">
            <v>170102220</v>
          </cell>
          <cell r="S619">
            <v>2</v>
          </cell>
          <cell r="T619">
            <v>2</v>
          </cell>
          <cell r="U619" t="str">
            <v>AntiFraude: Transações: 0 - Total: R$ 11.000,00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R$112.24 (1%)</v>
          </cell>
          <cell r="V619">
            <v>11224.49</v>
          </cell>
          <cell r="W619">
            <v>224.49</v>
          </cell>
          <cell r="X619">
            <v>168.37</v>
          </cell>
          <cell r="Y619">
            <v>0</v>
          </cell>
          <cell r="Z619">
            <v>0</v>
          </cell>
          <cell r="AA619">
            <v>0</v>
          </cell>
          <cell r="AB619">
            <v>11224.49</v>
          </cell>
          <cell r="AC619">
            <v>0</v>
          </cell>
          <cell r="AD619">
            <v>0</v>
          </cell>
          <cell r="AE619" t="str">
            <v>Sim</v>
          </cell>
        </row>
        <row r="620">
          <cell r="F620">
            <v>122799</v>
          </cell>
          <cell r="G620">
            <v>237224</v>
          </cell>
          <cell r="H620">
            <v>2470293000104</v>
          </cell>
          <cell r="I620" t="str">
            <v>TELHADAO COMERCIAL LTDA</v>
          </cell>
          <cell r="J620" t="str">
            <v>ORATORIO</v>
          </cell>
          <cell r="K620">
            <v>0</v>
          </cell>
          <cell r="M620" t="str">
            <v>JD. SANTO ALBERTO</v>
          </cell>
          <cell r="N620" t="str">
            <v>SANTO ANDRE</v>
          </cell>
          <cell r="O620" t="str">
            <v>SP</v>
          </cell>
          <cell r="Q620">
            <v>9260510</v>
          </cell>
          <cell r="R620">
            <v>170102220</v>
          </cell>
          <cell r="S620">
            <v>2</v>
          </cell>
          <cell r="T620">
            <v>2</v>
          </cell>
          <cell r="U620" t="str">
            <v>AntiFraude: Transações: 54 -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v>
          </cell>
          <cell r="V620">
            <v>195.92</v>
          </cell>
          <cell r="W620">
            <v>3.92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195.92</v>
          </cell>
          <cell r="AC620">
            <v>0</v>
          </cell>
          <cell r="AD620">
            <v>0</v>
          </cell>
          <cell r="AE620" t="str">
            <v>Sim</v>
          </cell>
        </row>
        <row r="621">
          <cell r="F621">
            <v>122800</v>
          </cell>
          <cell r="G621">
            <v>237207</v>
          </cell>
          <cell r="H621">
            <v>64775567000112</v>
          </cell>
          <cell r="I621" t="str">
            <v>REMUDE BRAND COMERCIO LTDA</v>
          </cell>
          <cell r="J621" t="str">
            <v>BUENO BRANDAO</v>
          </cell>
          <cell r="K621">
            <v>0</v>
          </cell>
          <cell r="M621" t="str">
            <v>CENTRO</v>
          </cell>
          <cell r="N621" t="str">
            <v>CURVELO</v>
          </cell>
          <cell r="O621" t="str">
            <v>MG</v>
          </cell>
          <cell r="Q621">
            <v>35790234</v>
          </cell>
          <cell r="R621">
            <v>170102220</v>
          </cell>
          <cell r="S621">
            <v>2</v>
          </cell>
          <cell r="T621">
            <v>2</v>
          </cell>
          <cell r="U621" t="str">
            <v>AntiFraude: Transações: 29 -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v>
          </cell>
          <cell r="V621">
            <v>191.84</v>
          </cell>
          <cell r="W621">
            <v>3.84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191.84</v>
          </cell>
          <cell r="AC621">
            <v>0</v>
          </cell>
          <cell r="AD621">
            <v>0</v>
          </cell>
          <cell r="AE621" t="str">
            <v>Sim</v>
          </cell>
        </row>
        <row r="622">
          <cell r="F622">
            <v>122801</v>
          </cell>
          <cell r="G622">
            <v>237222</v>
          </cell>
          <cell r="H622">
            <v>34903950000148</v>
          </cell>
          <cell r="I622" t="str">
            <v>VSG</v>
          </cell>
          <cell r="J622" t="str">
            <v>TRECHO SIA TRECHO 2 LOTES 645/</v>
          </cell>
          <cell r="K622">
            <v>720</v>
          </cell>
          <cell r="L622" t="str">
            <v>PARTE</v>
          </cell>
          <cell r="M622" t="str">
            <v>ZONA INDUSTRIAL (GUARA)</v>
          </cell>
          <cell r="N622" t="str">
            <v>BRASILIA</v>
          </cell>
          <cell r="O622" t="str">
            <v>DF</v>
          </cell>
          <cell r="Q622">
            <v>71200027</v>
          </cell>
          <cell r="R622">
            <v>170102220</v>
          </cell>
          <cell r="S622">
            <v>2</v>
          </cell>
          <cell r="T622">
            <v>2</v>
          </cell>
          <cell r="U622" t="str">
            <v>AntiFraude: Transações: 0 -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v>
          </cell>
          <cell r="V622">
            <v>191.84</v>
          </cell>
          <cell r="W622">
            <v>3.84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191.84</v>
          </cell>
          <cell r="AC622">
            <v>0</v>
          </cell>
          <cell r="AD622">
            <v>0</v>
          </cell>
          <cell r="AE622" t="str">
            <v>Sim</v>
          </cell>
        </row>
        <row r="623">
          <cell r="F623">
            <v>122802</v>
          </cell>
          <cell r="G623">
            <v>237242</v>
          </cell>
          <cell r="H623">
            <v>60859119000146</v>
          </cell>
          <cell r="I623" t="str">
            <v>TAKAMIYA COMERCIO DE MEDICAMENTOS L</v>
          </cell>
          <cell r="J623" t="str">
            <v>VOLUNTARIO FERNANDO PINHEIRO FRANCO</v>
          </cell>
          <cell r="K623">
            <v>0</v>
          </cell>
          <cell r="M623" t="str">
            <v>CENTRO</v>
          </cell>
          <cell r="N623" t="str">
            <v>MOGI DAS CRUZES</v>
          </cell>
          <cell r="O623" t="str">
            <v>SP</v>
          </cell>
          <cell r="Q623">
            <v>8710500</v>
          </cell>
          <cell r="R623">
            <v>170102220</v>
          </cell>
          <cell r="S623">
            <v>2</v>
          </cell>
          <cell r="T623">
            <v>2</v>
          </cell>
          <cell r="U623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623">
            <v>5.14</v>
          </cell>
          <cell r="W623">
            <v>0.1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5.14</v>
          </cell>
          <cell r="AC623">
            <v>0</v>
          </cell>
          <cell r="AD623">
            <v>0</v>
          </cell>
          <cell r="AE623" t="str">
            <v>Sim</v>
          </cell>
        </row>
        <row r="624">
          <cell r="F624">
            <v>122803</v>
          </cell>
          <cell r="G624">
            <v>237239</v>
          </cell>
          <cell r="H624">
            <v>7625852000113</v>
          </cell>
          <cell r="I624" t="str">
            <v>TELEXPERTS TELECOMUNICACOES S.A</v>
          </cell>
          <cell r="J624" t="str">
            <v>DAS AMERICAS</v>
          </cell>
          <cell r="K624">
            <v>0</v>
          </cell>
          <cell r="M624" t="str">
            <v>BARRA DA TIJUCA</v>
          </cell>
          <cell r="N624" t="str">
            <v>RIO DE JANEIRO</v>
          </cell>
          <cell r="O624" t="str">
            <v>RJ</v>
          </cell>
          <cell r="Q624">
            <v>22640102</v>
          </cell>
          <cell r="R624">
            <v>170102220</v>
          </cell>
          <cell r="S624">
            <v>2</v>
          </cell>
          <cell r="T624">
            <v>2</v>
          </cell>
          <cell r="U624" t="str">
            <v>AntiFraude: Transações: 0 - Total: R$ 9.900,00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R$101.02 (1%)</v>
          </cell>
          <cell r="V624">
            <v>10102.040000000001</v>
          </cell>
          <cell r="W624">
            <v>202.04</v>
          </cell>
          <cell r="X624">
            <v>151.53</v>
          </cell>
          <cell r="Y624">
            <v>65.66</v>
          </cell>
          <cell r="Z624">
            <v>303.06</v>
          </cell>
          <cell r="AA624">
            <v>101.02</v>
          </cell>
          <cell r="AB624">
            <v>10102.040000000001</v>
          </cell>
          <cell r="AC624">
            <v>0</v>
          </cell>
          <cell r="AD624">
            <v>0</v>
          </cell>
          <cell r="AE624" t="str">
            <v>Cancelada</v>
          </cell>
        </row>
        <row r="625">
          <cell r="F625">
            <v>122804</v>
          </cell>
          <cell r="G625">
            <v>237204</v>
          </cell>
          <cell r="H625">
            <v>41032961000165</v>
          </cell>
          <cell r="I625" t="str">
            <v>RODRIGUES INDUSTRIA E COMERCIO DE COLCHOES S/A</v>
          </cell>
          <cell r="J625" t="str">
            <v>URUBUS</v>
          </cell>
          <cell r="K625">
            <v>0</v>
          </cell>
          <cell r="M625" t="str">
            <v>TARUMA-ACU</v>
          </cell>
          <cell r="N625" t="str">
            <v>MANAUS</v>
          </cell>
          <cell r="O625" t="str">
            <v>AM</v>
          </cell>
          <cell r="Q625">
            <v>69022486</v>
          </cell>
          <cell r="R625">
            <v>170102220</v>
          </cell>
          <cell r="S625">
            <v>2</v>
          </cell>
          <cell r="T625">
            <v>2</v>
          </cell>
          <cell r="U625" t="str">
            <v>AntiFraude: Transações: 54 - Total: R$ 3.900,00 (Cobrança pelo mínimo mensal) (Período de apuração: 01/08/2026 à 31/08/2026) Vencimento: 19/09/2026 Brazilian Tax Information: Valor estimado dos tributos IBS e CBS, conforme disposto no art. 12 da Lei Complementar nº 214/2025 (Reforma Tributária sobre Consumo): R$39.80 (1%)</v>
          </cell>
          <cell r="V625">
            <v>3979.59</v>
          </cell>
          <cell r="W625">
            <v>79.59</v>
          </cell>
          <cell r="X625">
            <v>59.69</v>
          </cell>
          <cell r="Y625">
            <v>25.87</v>
          </cell>
          <cell r="Z625">
            <v>119.39</v>
          </cell>
          <cell r="AA625">
            <v>39.799999999999997</v>
          </cell>
          <cell r="AB625">
            <v>3979.59</v>
          </cell>
          <cell r="AC625">
            <v>0</v>
          </cell>
          <cell r="AD625">
            <v>0</v>
          </cell>
          <cell r="AE625" t="str">
            <v>Sim</v>
          </cell>
        </row>
        <row r="626">
          <cell r="F626">
            <v>122805</v>
          </cell>
          <cell r="G626">
            <v>237223</v>
          </cell>
          <cell r="H626">
            <v>92306257000780</v>
          </cell>
          <cell r="I626" t="str">
            <v>MV INFORMATICA NORDESTE LTDA</v>
          </cell>
          <cell r="J626" t="str">
            <v>PRESIDENTE DUTRA</v>
          </cell>
          <cell r="K626">
            <v>0</v>
          </cell>
          <cell r="M626" t="str">
            <v>IMBIRIBEIRA</v>
          </cell>
          <cell r="N626" t="str">
            <v>RECIFE</v>
          </cell>
          <cell r="O626" t="str">
            <v>PE</v>
          </cell>
          <cell r="Q626">
            <v>51190505</v>
          </cell>
          <cell r="R626">
            <v>170102220</v>
          </cell>
          <cell r="S626">
            <v>2</v>
          </cell>
          <cell r="T626">
            <v>2</v>
          </cell>
          <cell r="U626" t="str">
            <v>AntiFraude: Transações: 0 - Total: R$ 642,00 (Cobrança pelo mínimo mensal) CPSAP/00002880/2026 (Período de apuração: 01/08/2026 à 31/08/2026) Vencimento: 00/00/0000 Brazilian Tax Information: Valor estimado dos tributos IBS e CBS, conforme disposto no art. 12 da Lei Complementar nº 214/2025 (Reforma Tributária sobre Consumo): R$6.55 (1%)</v>
          </cell>
          <cell r="V626">
            <v>655.1</v>
          </cell>
          <cell r="W626">
            <v>13.1</v>
          </cell>
          <cell r="X626">
            <v>0</v>
          </cell>
          <cell r="Y626">
            <v>4.26</v>
          </cell>
          <cell r="Z626">
            <v>19.649999999999999</v>
          </cell>
          <cell r="AA626">
            <v>6.55</v>
          </cell>
          <cell r="AB626">
            <v>655.1</v>
          </cell>
          <cell r="AC626">
            <v>0</v>
          </cell>
          <cell r="AD626">
            <v>0</v>
          </cell>
          <cell r="AE626" t="str">
            <v>Sim</v>
          </cell>
        </row>
        <row r="627">
          <cell r="F627">
            <v>122806</v>
          </cell>
          <cell r="G627">
            <v>237252</v>
          </cell>
          <cell r="H627">
            <v>59557054000103</v>
          </cell>
          <cell r="I627" t="str">
            <v>VOLTATTO SUPRIMENTOS LTDA</v>
          </cell>
          <cell r="J627" t="str">
            <v>SAO BENEDITO</v>
          </cell>
          <cell r="K627">
            <v>0</v>
          </cell>
          <cell r="M627" t="str">
            <v>VILA FASCINA</v>
          </cell>
          <cell r="N627" t="str">
            <v>LIMEIRA</v>
          </cell>
          <cell r="O627" t="str">
            <v>SP</v>
          </cell>
          <cell r="Q627">
            <v>13484027</v>
          </cell>
          <cell r="R627">
            <v>170102220</v>
          </cell>
          <cell r="S627">
            <v>2</v>
          </cell>
          <cell r="T627">
            <v>2</v>
          </cell>
          <cell r="U627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627">
            <v>222.45</v>
          </cell>
          <cell r="W627">
            <v>4.45</v>
          </cell>
          <cell r="X627">
            <v>0</v>
          </cell>
          <cell r="Y627">
            <v>1.45</v>
          </cell>
          <cell r="Z627">
            <v>6.67</v>
          </cell>
          <cell r="AA627">
            <v>2.2200000000000002</v>
          </cell>
          <cell r="AB627">
            <v>222.45</v>
          </cell>
          <cell r="AC627">
            <v>0</v>
          </cell>
          <cell r="AD627">
            <v>0</v>
          </cell>
          <cell r="AE627" t="str">
            <v>Sim</v>
          </cell>
        </row>
        <row r="628">
          <cell r="F628">
            <v>122807</v>
          </cell>
          <cell r="G628">
            <v>237267</v>
          </cell>
          <cell r="H628">
            <v>23351345000195</v>
          </cell>
          <cell r="I628" t="str">
            <v>OCEAN JERI TAXI AEREO LTDA</v>
          </cell>
          <cell r="J628" t="str">
            <v>LAGOA DO PARAISO</v>
          </cell>
          <cell r="K628">
            <v>0</v>
          </cell>
          <cell r="M628" t="str">
            <v>CORREGO DO URUBU II</v>
          </cell>
          <cell r="N628" t="str">
            <v>JIJOCA DE JERICOACOARA</v>
          </cell>
          <cell r="O628" t="str">
            <v>CE</v>
          </cell>
          <cell r="Q628">
            <v>62598000</v>
          </cell>
          <cell r="R628">
            <v>170102220</v>
          </cell>
          <cell r="S628">
            <v>2</v>
          </cell>
          <cell r="T628">
            <v>2</v>
          </cell>
          <cell r="U628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628">
            <v>222.45</v>
          </cell>
          <cell r="W628">
            <v>4.45</v>
          </cell>
          <cell r="X628">
            <v>0</v>
          </cell>
          <cell r="Y628">
            <v>1.45</v>
          </cell>
          <cell r="Z628">
            <v>6.67</v>
          </cell>
          <cell r="AA628">
            <v>2.2200000000000002</v>
          </cell>
          <cell r="AB628">
            <v>222.45</v>
          </cell>
          <cell r="AC628">
            <v>0</v>
          </cell>
          <cell r="AD628">
            <v>0</v>
          </cell>
          <cell r="AE628" t="str">
            <v>Sim</v>
          </cell>
        </row>
        <row r="629">
          <cell r="F629">
            <v>122808</v>
          </cell>
          <cell r="G629">
            <v>237273</v>
          </cell>
          <cell r="H629">
            <v>46229255000121</v>
          </cell>
          <cell r="I629" t="str">
            <v>NM FIGUEIRA LTDA</v>
          </cell>
          <cell r="J629" t="str">
            <v>RAPOSO TAVARES</v>
          </cell>
          <cell r="K629">
            <v>0</v>
          </cell>
          <cell r="M629" t="str">
            <v>JARDIM ARPOADOR</v>
          </cell>
          <cell r="N629" t="str">
            <v>SAO PAULO</v>
          </cell>
          <cell r="O629" t="str">
            <v>SP</v>
          </cell>
          <cell r="Q629">
            <v>5577100</v>
          </cell>
          <cell r="R629">
            <v>170102220</v>
          </cell>
          <cell r="S629">
            <v>2</v>
          </cell>
          <cell r="T629">
            <v>2</v>
          </cell>
          <cell r="U629" t="str">
            <v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v>
          </cell>
          <cell r="V629">
            <v>222.45</v>
          </cell>
          <cell r="W629">
            <v>4.45</v>
          </cell>
          <cell r="X629">
            <v>0</v>
          </cell>
          <cell r="Y629">
            <v>1.45</v>
          </cell>
          <cell r="Z629">
            <v>6.67</v>
          </cell>
          <cell r="AA629">
            <v>2.2200000000000002</v>
          </cell>
          <cell r="AB629">
            <v>222.45</v>
          </cell>
          <cell r="AC629">
            <v>0</v>
          </cell>
          <cell r="AD629">
            <v>0</v>
          </cell>
          <cell r="AE629" t="str">
            <v>Sim</v>
          </cell>
        </row>
        <row r="630">
          <cell r="F630">
            <v>122809</v>
          </cell>
          <cell r="G630">
            <v>237260</v>
          </cell>
          <cell r="H630">
            <v>10216260000314</v>
          </cell>
          <cell r="I630" t="str">
            <v>OTS IMPORTADORA E EXPORTADORA LTDA</v>
          </cell>
          <cell r="J630" t="str">
            <v>WASHINGTON LUIS</v>
          </cell>
          <cell r="K630">
            <v>0</v>
          </cell>
          <cell r="M630" t="str">
            <v>PERIMETRO URBANO</v>
          </cell>
          <cell r="N630" t="str">
            <v>MIRASSOL</v>
          </cell>
          <cell r="O630" t="str">
            <v>SP</v>
          </cell>
          <cell r="Q630">
            <v>15135759</v>
          </cell>
          <cell r="R630">
            <v>170102220</v>
          </cell>
          <cell r="S630">
            <v>2</v>
          </cell>
          <cell r="T630">
            <v>2</v>
          </cell>
          <cell r="U630" t="str">
            <v>AntiFraude: Transações: 0 - Total: R$ 470,00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R$4.80 (1%)</v>
          </cell>
          <cell r="V630">
            <v>479.59</v>
          </cell>
          <cell r="W630">
            <v>9.59</v>
          </cell>
          <cell r="X630">
            <v>0</v>
          </cell>
          <cell r="Y630">
            <v>3.12</v>
          </cell>
          <cell r="Z630">
            <v>14.39</v>
          </cell>
          <cell r="AA630">
            <v>4.8</v>
          </cell>
          <cell r="AB630">
            <v>479.59</v>
          </cell>
          <cell r="AC630">
            <v>0</v>
          </cell>
          <cell r="AD630">
            <v>0</v>
          </cell>
          <cell r="AE630" t="str">
            <v>Sim</v>
          </cell>
        </row>
        <row r="631">
          <cell r="F631">
            <v>122810</v>
          </cell>
          <cell r="G631">
            <v>237266</v>
          </cell>
          <cell r="H631">
            <v>61551778000183</v>
          </cell>
          <cell r="I631" t="str">
            <v>PRESTOFARMA DROGARIA E PERFUMARIA L</v>
          </cell>
          <cell r="J631" t="str">
            <v>JAGUARE</v>
          </cell>
          <cell r="K631">
            <v>0</v>
          </cell>
          <cell r="M631" t="str">
            <v>JAGUARE</v>
          </cell>
          <cell r="N631" t="str">
            <v>SAO PAULO</v>
          </cell>
          <cell r="O631" t="str">
            <v>SP</v>
          </cell>
          <cell r="Q631">
            <v>5346000</v>
          </cell>
          <cell r="R631">
            <v>170102220</v>
          </cell>
          <cell r="S631">
            <v>2</v>
          </cell>
          <cell r="T631">
            <v>2</v>
          </cell>
          <cell r="U631" t="str">
            <v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v>
          </cell>
          <cell r="V631">
            <v>5.14</v>
          </cell>
          <cell r="W631">
            <v>0.1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5.14</v>
          </cell>
          <cell r="AC631">
            <v>0</v>
          </cell>
          <cell r="AD631">
            <v>0</v>
          </cell>
          <cell r="AE631" t="str">
            <v>Sim</v>
          </cell>
        </row>
        <row r="632">
          <cell r="F632">
            <v>122187</v>
          </cell>
          <cell r="G632">
            <v>237280</v>
          </cell>
          <cell r="H632">
            <v>78116670000599</v>
          </cell>
          <cell r="I632" t="str">
            <v>CIA BEAL DE ALIMENTOS .</v>
          </cell>
          <cell r="J632" t="str">
            <v>JUSCELINO KUBITSCHEK DE OLIVEIRA LD</v>
          </cell>
          <cell r="K632">
            <v>4900</v>
          </cell>
          <cell r="M632" t="str">
            <v>CIDADE INDUSTRIAL DE CURITIBA</v>
          </cell>
          <cell r="N632" t="str">
            <v>CURITIBA</v>
          </cell>
          <cell r="O632" t="str">
            <v>PR</v>
          </cell>
          <cell r="Q632">
            <v>81260000</v>
          </cell>
          <cell r="R632">
            <v>170102220</v>
          </cell>
          <cell r="S632">
            <v>2</v>
          </cell>
          <cell r="T632">
            <v>2</v>
          </cell>
          <cell r="U632" t="str">
            <v>Analista de Risco: R$ 4.418,11 Antifraude: 3099 - Tarifa:  0,4428 - Total: R$ 1.372,24  (Período deapuração: 01/08/2026 à 31/08/2026) Vencimento: 22/09/2026 Brazilian Tax Information: Valor estimado dos tributos IBS e CBS, conforme disposto no art. 12 da Lei Complementar nº 214/2025 (Reforma Tributária sobre Consumo): R$14.00 (1%)</v>
          </cell>
          <cell r="V632">
            <v>5908.53</v>
          </cell>
          <cell r="W632">
            <v>118.17</v>
          </cell>
          <cell r="X632">
            <v>88.62</v>
          </cell>
          <cell r="Y632">
            <v>38.4</v>
          </cell>
          <cell r="Z632">
            <v>177.26</v>
          </cell>
          <cell r="AA632">
            <v>59.08</v>
          </cell>
          <cell r="AB632">
            <v>5908.53</v>
          </cell>
          <cell r="AC632">
            <v>0</v>
          </cell>
          <cell r="AD632">
            <v>0</v>
          </cell>
          <cell r="AE632" t="str">
            <v>Sim</v>
          </cell>
        </row>
        <row r="633">
          <cell r="F633">
            <v>122811</v>
          </cell>
          <cell r="G633">
            <v>237281</v>
          </cell>
          <cell r="H633">
            <v>14576103000109</v>
          </cell>
          <cell r="I633" t="str">
            <v>BOUTIQUE DENTAL LTDA</v>
          </cell>
          <cell r="J633" t="str">
            <v>DOUTOR RICARDO VILELA</v>
          </cell>
          <cell r="K633">
            <v>0</v>
          </cell>
          <cell r="M633" t="str">
            <v>CENTRO</v>
          </cell>
          <cell r="N633" t="str">
            <v>MOGI DAS CRUZES</v>
          </cell>
          <cell r="O633" t="str">
            <v>SP</v>
          </cell>
          <cell r="Q633">
            <v>8780060</v>
          </cell>
          <cell r="R633">
            <v>170102220</v>
          </cell>
          <cell r="S633">
            <v>2</v>
          </cell>
          <cell r="T633">
            <v>2</v>
          </cell>
          <cell r="U633" t="str">
            <v>Antifraude Transações: 0 - Total: R$ 350,00 (Cobrança pelo minimo mensal) (Período de apuração: 01/08/2026 à 31/08/2026) Vencimento: 24/09/2026 Brazilian Tax Information: Valor estimado dos tributos IBS e CBS, conforme disposto no art. 12 da Lei Complementar nº 214/2025 (Reforma Tributária sobre Consumo): R$3.57 (1%)</v>
          </cell>
          <cell r="V633">
            <v>357.14</v>
          </cell>
          <cell r="W633">
            <v>7.14</v>
          </cell>
          <cell r="X633">
            <v>0</v>
          </cell>
          <cell r="Y633">
            <v>2.3199999999999998</v>
          </cell>
          <cell r="Z633">
            <v>10.71</v>
          </cell>
          <cell r="AA633">
            <v>3.57</v>
          </cell>
          <cell r="AB633">
            <v>357.14</v>
          </cell>
          <cell r="AC633">
            <v>0</v>
          </cell>
          <cell r="AD633">
            <v>0</v>
          </cell>
          <cell r="AE633" t="str">
            <v>Sim</v>
          </cell>
        </row>
        <row r="634">
          <cell r="F634">
            <v>122812</v>
          </cell>
          <cell r="G634">
            <v>237282</v>
          </cell>
          <cell r="H634">
            <v>5164667000739</v>
          </cell>
          <cell r="I634" t="str">
            <v>CENTER MEGA COMERCIO DE MATERIAIS PONSTRUCAO LTDA</v>
          </cell>
          <cell r="J634" t="str">
            <v>M'BOI MIRIM</v>
          </cell>
          <cell r="K634">
            <v>0</v>
          </cell>
          <cell r="M634" t="str">
            <v>JARDIM REGINA</v>
          </cell>
          <cell r="N634" t="str">
            <v>SAO PAULO</v>
          </cell>
          <cell r="O634" t="str">
            <v>SP</v>
          </cell>
          <cell r="Q634">
            <v>4905002</v>
          </cell>
          <cell r="R634">
            <v>170102220</v>
          </cell>
          <cell r="S634">
            <v>2</v>
          </cell>
          <cell r="T634">
            <v>2</v>
          </cell>
          <cell r="U634" t="str">
            <v>Antifraude  Transações: 0 - Total: R$ 233,80 (Cobrança pelo minimo mensal) (Período de apuração: 01/08/2026 à 31/08/2026) Vencimento: 24/09/2026 Brazilian Tax Information: Valor estimado dos tributos IBS e CBS, conforme disposto no art. 12 da Lei Complementar nº 214/2025 (Reforma Tributária sobre Consumo): R$2.39 (1%)</v>
          </cell>
          <cell r="V634">
            <v>238.57</v>
          </cell>
          <cell r="W634">
            <v>4.7699999999999996</v>
          </cell>
          <cell r="X634">
            <v>0</v>
          </cell>
          <cell r="Y634">
            <v>1.55</v>
          </cell>
          <cell r="Z634">
            <v>7.16</v>
          </cell>
          <cell r="AA634">
            <v>2.39</v>
          </cell>
          <cell r="AB634">
            <v>238.57</v>
          </cell>
          <cell r="AC634">
            <v>0</v>
          </cell>
          <cell r="AD634">
            <v>0</v>
          </cell>
          <cell r="AE634" t="str">
            <v>Sim</v>
          </cell>
        </row>
        <row r="635">
          <cell r="F635">
            <v>122813</v>
          </cell>
          <cell r="G635">
            <v>237283</v>
          </cell>
          <cell r="H635">
            <v>70940994000101</v>
          </cell>
          <cell r="I635" t="str">
            <v>PANDURATA ALIMENTOS LTDA</v>
          </cell>
          <cell r="J635" t="str">
            <v>RUA FRITZ REIMANN</v>
          </cell>
          <cell r="K635">
            <v>628</v>
          </cell>
          <cell r="M635" t="str">
            <v>VILA SAO JOAO</v>
          </cell>
          <cell r="N635" t="str">
            <v>GUARULHOS</v>
          </cell>
          <cell r="O635" t="str">
            <v>SP</v>
          </cell>
          <cell r="Q635">
            <v>7044020</v>
          </cell>
          <cell r="R635">
            <v>170102220</v>
          </cell>
          <cell r="S635">
            <v>2</v>
          </cell>
          <cell r="T635">
            <v>2</v>
          </cell>
          <cell r="U635" t="str">
            <v>Antifraude  Valor de R$ 375,00 (Cobrança pelo minimo mensal)(Período de apuração: 01/08/2026 à 31/08/2026) Vencimento: 31/10/2026 Brazilian Tax Information: Valor estimado dos tributos IBS e CBS, conforme disposto no art. 12 da Lei Complementar nº 214/2025 (Reforma Tributária sobre Consumo): R$3.83 (1%)</v>
          </cell>
          <cell r="V635">
            <v>382.65</v>
          </cell>
          <cell r="W635">
            <v>7.65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382.65</v>
          </cell>
          <cell r="AC635">
            <v>0</v>
          </cell>
          <cell r="AD635">
            <v>0</v>
          </cell>
          <cell r="AE635" t="str">
            <v>Sim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04"/>
  <sheetViews>
    <sheetView tabSelected="1" topLeftCell="D1" workbookViewId="0">
      <selection activeCell="D1" sqref="A1:XFD1"/>
    </sheetView>
  </sheetViews>
  <sheetFormatPr defaultRowHeight="13.2" x14ac:dyDescent="0.25"/>
  <cols>
    <col min="1" max="1" width="16" bestFit="1" customWidth="1"/>
    <col min="2" max="2" width="12" bestFit="1" customWidth="1"/>
    <col min="3" max="3" width="19" bestFit="1" customWidth="1"/>
    <col min="4" max="4" width="12" bestFit="1" customWidth="1"/>
    <col min="5" max="5" width="20" bestFit="1" customWidth="1"/>
    <col min="6" max="6" width="18" bestFit="1" customWidth="1"/>
    <col min="7" max="7" width="18" customWidth="1"/>
    <col min="8" max="8" width="9" bestFit="1" customWidth="1"/>
    <col min="9" max="9" width="20" bestFit="1" customWidth="1"/>
    <col min="10" max="10" width="12" bestFit="1" customWidth="1"/>
    <col min="11" max="11" width="14" bestFit="1" customWidth="1"/>
    <col min="12" max="12" width="37" bestFit="1" customWidth="1"/>
    <col min="13" max="13" width="15.88671875" style="6" bestFit="1" customWidth="1"/>
    <col min="14" max="14" width="14" bestFit="1" customWidth="1"/>
    <col min="15" max="15" width="9" bestFit="1" customWidth="1"/>
    <col min="16" max="16" width="17" bestFit="1" customWidth="1"/>
  </cols>
  <sheetData>
    <row r="1" spans="1:16" ht="26.4" x14ac:dyDescent="0.25">
      <c r="A1" s="4" t="s">
        <v>1292</v>
      </c>
      <c r="B1" s="1" t="s">
        <v>1293</v>
      </c>
      <c r="C1" s="1" t="s">
        <v>1294</v>
      </c>
      <c r="D1" s="1" t="s">
        <v>1295</v>
      </c>
      <c r="E1" s="1" t="s">
        <v>1296</v>
      </c>
      <c r="F1" s="1" t="s">
        <v>1297</v>
      </c>
      <c r="G1" s="1"/>
      <c r="H1" s="1" t="s">
        <v>1298</v>
      </c>
      <c r="I1" s="1" t="s">
        <v>1299</v>
      </c>
      <c r="J1" s="4" t="s">
        <v>1300</v>
      </c>
      <c r="K1" s="1" t="s">
        <v>1301</v>
      </c>
      <c r="L1" s="1" t="s">
        <v>1302</v>
      </c>
      <c r="M1" s="7" t="s">
        <v>1303</v>
      </c>
      <c r="N1" s="1" t="s">
        <v>1304</v>
      </c>
      <c r="O1" s="1" t="s">
        <v>1305</v>
      </c>
      <c r="P1" s="1" t="s">
        <v>1306</v>
      </c>
    </row>
    <row r="2" spans="1:16" ht="13.95" customHeight="1" x14ac:dyDescent="0.25">
      <c r="A2" s="2" t="s">
        <v>0</v>
      </c>
      <c r="B2" t="s">
        <v>1</v>
      </c>
      <c r="C2" s="3">
        <v>46276</v>
      </c>
      <c r="D2" t="s">
        <v>2</v>
      </c>
      <c r="E2" t="s">
        <v>0</v>
      </c>
      <c r="F2" s="5">
        <v>122275</v>
      </c>
      <c r="G2" s="5" t="str">
        <f>VLOOKUP(F2,'[1]46974159BCSET2026'!$F:$AE,26,0)</f>
        <v>Sim</v>
      </c>
      <c r="H2" t="s">
        <v>3</v>
      </c>
      <c r="I2" s="3">
        <v>46276</v>
      </c>
      <c r="J2" t="s">
        <v>4</v>
      </c>
      <c r="K2" t="s">
        <v>5</v>
      </c>
      <c r="L2" t="s">
        <v>6</v>
      </c>
      <c r="M2" s="8">
        <v>-112244.9</v>
      </c>
      <c r="N2" t="s">
        <v>0</v>
      </c>
      <c r="O2" t="s">
        <v>7</v>
      </c>
      <c r="P2" t="s">
        <v>8</v>
      </c>
    </row>
    <row r="3" spans="1:16" ht="13.95" customHeight="1" x14ac:dyDescent="0.25">
      <c r="A3" s="2" t="s">
        <v>0</v>
      </c>
      <c r="B3" t="s">
        <v>1</v>
      </c>
      <c r="C3" s="3">
        <v>46276</v>
      </c>
      <c r="D3" t="s">
        <v>2</v>
      </c>
      <c r="E3" t="s">
        <v>0</v>
      </c>
      <c r="F3" s="5">
        <v>122230</v>
      </c>
      <c r="G3" s="5" t="str">
        <f>VLOOKUP(F3,'[1]46974159BCSET2026'!$F:$AE,26,0)</f>
        <v>Sim</v>
      </c>
      <c r="H3" t="s">
        <v>3</v>
      </c>
      <c r="I3" s="3">
        <v>46276</v>
      </c>
      <c r="J3" t="s">
        <v>4</v>
      </c>
      <c r="K3" t="s">
        <v>9</v>
      </c>
      <c r="L3" t="s">
        <v>10</v>
      </c>
      <c r="M3" s="8">
        <v>-83666.95</v>
      </c>
      <c r="N3" t="s">
        <v>0</v>
      </c>
      <c r="O3" t="s">
        <v>7</v>
      </c>
      <c r="P3" t="s">
        <v>8</v>
      </c>
    </row>
    <row r="4" spans="1:16" ht="13.95" customHeight="1" x14ac:dyDescent="0.25">
      <c r="A4" s="2" t="s">
        <v>0</v>
      </c>
      <c r="B4" t="s">
        <v>1</v>
      </c>
      <c r="C4" s="3">
        <v>46276</v>
      </c>
      <c r="D4" t="s">
        <v>2</v>
      </c>
      <c r="E4" t="s">
        <v>0</v>
      </c>
      <c r="F4" s="5">
        <v>122243</v>
      </c>
      <c r="G4" s="5" t="str">
        <f>VLOOKUP(F4,'[1]46974159BCSET2026'!$F:$AE,26,0)</f>
        <v>Sim</v>
      </c>
      <c r="H4" t="s">
        <v>3</v>
      </c>
      <c r="I4" s="3">
        <v>46276</v>
      </c>
      <c r="J4" t="s">
        <v>4</v>
      </c>
      <c r="K4" t="s">
        <v>11</v>
      </c>
      <c r="L4" t="s">
        <v>12</v>
      </c>
      <c r="M4" s="8">
        <v>-70478.81</v>
      </c>
      <c r="N4" t="s">
        <v>0</v>
      </c>
      <c r="O4" t="s">
        <v>7</v>
      </c>
      <c r="P4" t="s">
        <v>8</v>
      </c>
    </row>
    <row r="5" spans="1:16" ht="13.95" customHeight="1" x14ac:dyDescent="0.25">
      <c r="A5" s="2" t="s">
        <v>0</v>
      </c>
      <c r="B5" t="s">
        <v>1</v>
      </c>
      <c r="C5" s="3">
        <v>46276</v>
      </c>
      <c r="D5" t="s">
        <v>2</v>
      </c>
      <c r="E5" t="s">
        <v>0</v>
      </c>
      <c r="F5" s="5">
        <v>122629</v>
      </c>
      <c r="G5" s="5" t="str">
        <f>VLOOKUP(F5,'[1]46974159BCSET2026'!$F:$AE,26,0)</f>
        <v>Sim</v>
      </c>
      <c r="H5" t="s">
        <v>3</v>
      </c>
      <c r="I5" s="3">
        <v>46276</v>
      </c>
      <c r="J5" t="s">
        <v>4</v>
      </c>
      <c r="K5" t="s">
        <v>13</v>
      </c>
      <c r="L5" t="s">
        <v>14</v>
      </c>
      <c r="M5" s="8">
        <v>-69166.509999999995</v>
      </c>
      <c r="N5" t="s">
        <v>0</v>
      </c>
      <c r="O5" t="s">
        <v>7</v>
      </c>
      <c r="P5" t="s">
        <v>8</v>
      </c>
    </row>
    <row r="6" spans="1:16" ht="13.95" customHeight="1" x14ac:dyDescent="0.25">
      <c r="A6" s="2" t="s">
        <v>0</v>
      </c>
      <c r="B6" t="s">
        <v>1</v>
      </c>
      <c r="C6" s="3">
        <v>46276</v>
      </c>
      <c r="D6" t="s">
        <v>2</v>
      </c>
      <c r="E6" t="s">
        <v>0</v>
      </c>
      <c r="F6" s="5">
        <v>122243</v>
      </c>
      <c r="G6" s="5" t="str">
        <f>VLOOKUP(F6,'[1]46974159BCSET2026'!$F:$AE,26,0)</f>
        <v>Sim</v>
      </c>
      <c r="H6" t="s">
        <v>3</v>
      </c>
      <c r="I6" s="3">
        <v>46276</v>
      </c>
      <c r="J6" t="s">
        <v>4</v>
      </c>
      <c r="K6" t="s">
        <v>11</v>
      </c>
      <c r="L6" t="s">
        <v>12</v>
      </c>
      <c r="M6" s="8">
        <v>-62636.85</v>
      </c>
      <c r="N6" t="s">
        <v>0</v>
      </c>
      <c r="O6" t="s">
        <v>7</v>
      </c>
      <c r="P6" t="s">
        <v>8</v>
      </c>
    </row>
    <row r="7" spans="1:16" ht="13.95" customHeight="1" x14ac:dyDescent="0.25">
      <c r="A7" s="2" t="s">
        <v>0</v>
      </c>
      <c r="B7" t="s">
        <v>1</v>
      </c>
      <c r="C7" s="3">
        <v>46276</v>
      </c>
      <c r="D7" t="s">
        <v>2</v>
      </c>
      <c r="E7" t="s">
        <v>0</v>
      </c>
      <c r="F7" s="5">
        <v>122243</v>
      </c>
      <c r="G7" s="5" t="str">
        <f>VLOOKUP(F7,'[1]46974159BCSET2026'!$F:$AE,26,0)</f>
        <v>Sim</v>
      </c>
      <c r="H7" t="s">
        <v>3</v>
      </c>
      <c r="I7" s="3">
        <v>46276</v>
      </c>
      <c r="J7" t="s">
        <v>4</v>
      </c>
      <c r="K7" t="s">
        <v>11</v>
      </c>
      <c r="L7" t="s">
        <v>12</v>
      </c>
      <c r="M7" s="8">
        <v>-61139.65</v>
      </c>
      <c r="N7" t="s">
        <v>0</v>
      </c>
      <c r="O7" t="s">
        <v>7</v>
      </c>
      <c r="P7" t="s">
        <v>8</v>
      </c>
    </row>
    <row r="8" spans="1:16" ht="13.95" customHeight="1" x14ac:dyDescent="0.25">
      <c r="A8" s="2" t="s">
        <v>0</v>
      </c>
      <c r="B8" t="s">
        <v>1</v>
      </c>
      <c r="C8" s="3">
        <v>46276</v>
      </c>
      <c r="D8" t="s">
        <v>2</v>
      </c>
      <c r="E8" t="s">
        <v>0</v>
      </c>
      <c r="F8" s="5">
        <v>122603</v>
      </c>
      <c r="G8" s="5" t="str">
        <f>VLOOKUP(F8,'[1]46974159BCSET2026'!$F:$AE,26,0)</f>
        <v>Sim</v>
      </c>
      <c r="H8" t="s">
        <v>3</v>
      </c>
      <c r="I8" s="3">
        <v>46276</v>
      </c>
      <c r="J8" t="s">
        <v>4</v>
      </c>
      <c r="K8" t="s">
        <v>15</v>
      </c>
      <c r="L8" t="s">
        <v>16</v>
      </c>
      <c r="M8" s="8">
        <v>-59693.88</v>
      </c>
      <c r="N8" t="s">
        <v>0</v>
      </c>
      <c r="O8" t="s">
        <v>7</v>
      </c>
      <c r="P8" t="s">
        <v>8</v>
      </c>
    </row>
    <row r="9" spans="1:16" ht="13.95" customHeight="1" x14ac:dyDescent="0.25">
      <c r="A9" s="2" t="s">
        <v>0</v>
      </c>
      <c r="B9" t="s">
        <v>1</v>
      </c>
      <c r="C9" s="3">
        <v>46276</v>
      </c>
      <c r="D9" t="s">
        <v>2</v>
      </c>
      <c r="E9" t="s">
        <v>0</v>
      </c>
      <c r="F9" s="5">
        <v>122690</v>
      </c>
      <c r="G9" s="5" t="str">
        <f>VLOOKUP(F9,'[1]46974159BCSET2026'!$F:$AE,26,0)</f>
        <v>Sim</v>
      </c>
      <c r="H9" t="s">
        <v>3</v>
      </c>
      <c r="I9" s="3">
        <v>46276</v>
      </c>
      <c r="J9" t="s">
        <v>4</v>
      </c>
      <c r="K9" t="s">
        <v>17</v>
      </c>
      <c r="L9" t="s">
        <v>18</v>
      </c>
      <c r="M9" s="8">
        <v>-56122.45</v>
      </c>
      <c r="N9" t="s">
        <v>0</v>
      </c>
      <c r="O9" t="s">
        <v>7</v>
      </c>
      <c r="P9" t="s">
        <v>8</v>
      </c>
    </row>
    <row r="10" spans="1:16" ht="13.95" customHeight="1" x14ac:dyDescent="0.25">
      <c r="A10" s="2" t="s">
        <v>0</v>
      </c>
      <c r="B10" t="s">
        <v>1</v>
      </c>
      <c r="C10" s="3">
        <v>46275</v>
      </c>
      <c r="D10" t="s">
        <v>19</v>
      </c>
      <c r="E10" t="s">
        <v>0</v>
      </c>
      <c r="F10" s="5">
        <v>122182</v>
      </c>
      <c r="G10" s="5" t="str">
        <f>VLOOKUP(F10,'[1]46974159BCSET2026'!$F:$AE,26,0)</f>
        <v>Sim</v>
      </c>
      <c r="H10" t="s">
        <v>3</v>
      </c>
      <c r="I10" s="3">
        <v>46275</v>
      </c>
      <c r="J10" t="s">
        <v>4</v>
      </c>
      <c r="K10" t="s">
        <v>20</v>
      </c>
      <c r="L10" t="s">
        <v>21</v>
      </c>
      <c r="M10" s="8">
        <v>-53201.24</v>
      </c>
      <c r="N10" t="s">
        <v>0</v>
      </c>
      <c r="O10" t="s">
        <v>7</v>
      </c>
      <c r="P10" t="s">
        <v>8</v>
      </c>
    </row>
    <row r="11" spans="1:16" ht="13.95" customHeight="1" x14ac:dyDescent="0.25">
      <c r="A11" s="2" t="s">
        <v>0</v>
      </c>
      <c r="B11" t="s">
        <v>1</v>
      </c>
      <c r="C11" s="3">
        <v>46276</v>
      </c>
      <c r="D11" t="s">
        <v>2</v>
      </c>
      <c r="E11" t="s">
        <v>0</v>
      </c>
      <c r="F11" s="5">
        <v>122629</v>
      </c>
      <c r="G11" s="5" t="str">
        <f>VLOOKUP(F11,'[1]46974159BCSET2026'!$F:$AE,26,0)</f>
        <v>Sim</v>
      </c>
      <c r="H11" t="s">
        <v>3</v>
      </c>
      <c r="I11" s="3">
        <v>46276</v>
      </c>
      <c r="J11" t="s">
        <v>4</v>
      </c>
      <c r="K11" t="s">
        <v>13</v>
      </c>
      <c r="L11" t="s">
        <v>14</v>
      </c>
      <c r="M11" s="8">
        <v>-41297.47</v>
      </c>
      <c r="N11" t="s">
        <v>0</v>
      </c>
      <c r="O11" t="s">
        <v>7</v>
      </c>
      <c r="P11" t="s">
        <v>8</v>
      </c>
    </row>
    <row r="12" spans="1:16" ht="13.95" customHeight="1" x14ac:dyDescent="0.25">
      <c r="A12" s="2" t="s">
        <v>0</v>
      </c>
      <c r="B12" t="s">
        <v>1</v>
      </c>
      <c r="C12" s="3">
        <v>46276</v>
      </c>
      <c r="D12" t="s">
        <v>2</v>
      </c>
      <c r="E12" t="s">
        <v>0</v>
      </c>
      <c r="F12" s="5">
        <v>122224</v>
      </c>
      <c r="G12" s="5" t="str">
        <f>VLOOKUP(F12,'[1]46974159BCSET2026'!$F:$AE,26,0)</f>
        <v>Sim</v>
      </c>
      <c r="H12" t="s">
        <v>3</v>
      </c>
      <c r="I12" s="3">
        <v>46276</v>
      </c>
      <c r="J12" t="s">
        <v>4</v>
      </c>
      <c r="K12" t="s">
        <v>22</v>
      </c>
      <c r="L12" t="s">
        <v>23</v>
      </c>
      <c r="M12" s="8">
        <v>-37692.31</v>
      </c>
      <c r="N12" t="s">
        <v>0</v>
      </c>
      <c r="O12" t="s">
        <v>7</v>
      </c>
      <c r="P12" t="s">
        <v>8</v>
      </c>
    </row>
    <row r="13" spans="1:16" ht="13.95" customHeight="1" x14ac:dyDescent="0.25">
      <c r="A13" s="2" t="s">
        <v>0</v>
      </c>
      <c r="B13" t="s">
        <v>1</v>
      </c>
      <c r="C13" s="3">
        <v>46276</v>
      </c>
      <c r="D13" t="s">
        <v>2</v>
      </c>
      <c r="E13" t="s">
        <v>0</v>
      </c>
      <c r="F13" s="5">
        <v>122203</v>
      </c>
      <c r="G13" s="5" t="str">
        <f>VLOOKUP(F13,'[1]46974159BCSET2026'!$F:$AE,26,0)</f>
        <v>Sim</v>
      </c>
      <c r="H13" t="s">
        <v>3</v>
      </c>
      <c r="I13" s="3">
        <v>46276</v>
      </c>
      <c r="J13" t="s">
        <v>4</v>
      </c>
      <c r="K13" t="s">
        <v>24</v>
      </c>
      <c r="L13" t="s">
        <v>25</v>
      </c>
      <c r="M13" s="8">
        <v>-33248.78</v>
      </c>
      <c r="N13" t="s">
        <v>0</v>
      </c>
      <c r="O13" t="s">
        <v>7</v>
      </c>
      <c r="P13" t="s">
        <v>8</v>
      </c>
    </row>
    <row r="14" spans="1:16" ht="13.95" customHeight="1" x14ac:dyDescent="0.25">
      <c r="A14" s="2" t="s">
        <v>0</v>
      </c>
      <c r="B14" t="s">
        <v>1</v>
      </c>
      <c r="C14" s="3">
        <v>46276</v>
      </c>
      <c r="D14" t="s">
        <v>2</v>
      </c>
      <c r="E14" t="s">
        <v>0</v>
      </c>
      <c r="F14" s="5">
        <v>122643</v>
      </c>
      <c r="G14" s="5" t="str">
        <f>VLOOKUP(F14,'[1]46974159BCSET2026'!$F:$AE,26,0)</f>
        <v>Sim</v>
      </c>
      <c r="H14" t="s">
        <v>3</v>
      </c>
      <c r="I14" s="3">
        <v>46276</v>
      </c>
      <c r="J14" t="s">
        <v>4</v>
      </c>
      <c r="K14" t="s">
        <v>26</v>
      </c>
      <c r="L14" t="s">
        <v>27</v>
      </c>
      <c r="M14" s="8">
        <v>-32036.78</v>
      </c>
      <c r="N14" t="s">
        <v>0</v>
      </c>
      <c r="O14" t="s">
        <v>7</v>
      </c>
      <c r="P14" t="s">
        <v>8</v>
      </c>
    </row>
    <row r="15" spans="1:16" ht="13.95" customHeight="1" x14ac:dyDescent="0.25">
      <c r="A15" s="2" t="s">
        <v>0</v>
      </c>
      <c r="B15" t="s">
        <v>1</v>
      </c>
      <c r="C15" s="3">
        <v>46276</v>
      </c>
      <c r="D15" t="s">
        <v>2</v>
      </c>
      <c r="E15" t="s">
        <v>0</v>
      </c>
      <c r="F15" s="5">
        <v>122634</v>
      </c>
      <c r="G15" s="5" t="str">
        <f>VLOOKUP(F15,'[1]46974159BCSET2026'!$F:$AE,26,0)</f>
        <v>Sim</v>
      </c>
      <c r="H15" t="s">
        <v>3</v>
      </c>
      <c r="I15" s="3">
        <v>46276</v>
      </c>
      <c r="J15" t="s">
        <v>4</v>
      </c>
      <c r="K15" t="s">
        <v>28</v>
      </c>
      <c r="L15" t="s">
        <v>29</v>
      </c>
      <c r="M15" s="8">
        <v>-30848.18</v>
      </c>
      <c r="N15" t="s">
        <v>0</v>
      </c>
      <c r="O15" t="s">
        <v>7</v>
      </c>
      <c r="P15" t="s">
        <v>8</v>
      </c>
    </row>
    <row r="16" spans="1:16" ht="13.95" customHeight="1" x14ac:dyDescent="0.25">
      <c r="A16" s="2" t="s">
        <v>0</v>
      </c>
      <c r="B16" t="s">
        <v>1</v>
      </c>
      <c r="C16" s="3">
        <v>46276</v>
      </c>
      <c r="D16" t="s">
        <v>2</v>
      </c>
      <c r="E16" t="s">
        <v>0</v>
      </c>
      <c r="F16" s="5">
        <v>122571</v>
      </c>
      <c r="G16" s="5" t="str">
        <f>VLOOKUP(F16,'[1]46974159BCSET2026'!$F:$AE,26,0)</f>
        <v>Sim</v>
      </c>
      <c r="H16" t="s">
        <v>3</v>
      </c>
      <c r="I16" s="3">
        <v>46276</v>
      </c>
      <c r="J16" t="s">
        <v>4</v>
      </c>
      <c r="K16" t="s">
        <v>30</v>
      </c>
      <c r="L16" t="s">
        <v>31</v>
      </c>
      <c r="M16" s="8">
        <v>-29642.86</v>
      </c>
      <c r="N16" t="s">
        <v>0</v>
      </c>
      <c r="O16" t="s">
        <v>7</v>
      </c>
      <c r="P16" t="s">
        <v>8</v>
      </c>
    </row>
    <row r="17" spans="1:16" ht="13.95" customHeight="1" x14ac:dyDescent="0.25">
      <c r="A17" s="2" t="s">
        <v>0</v>
      </c>
      <c r="B17" t="s">
        <v>1</v>
      </c>
      <c r="C17" s="3">
        <v>46276</v>
      </c>
      <c r="D17" t="s">
        <v>2</v>
      </c>
      <c r="E17" t="s">
        <v>0</v>
      </c>
      <c r="F17" s="5">
        <v>122218</v>
      </c>
      <c r="G17" s="5" t="str">
        <f>VLOOKUP(F17,'[1]46974159BCSET2026'!$F:$AE,26,0)</f>
        <v>Sim</v>
      </c>
      <c r="H17" t="s">
        <v>3</v>
      </c>
      <c r="I17" s="3">
        <v>46276</v>
      </c>
      <c r="J17" t="s">
        <v>4</v>
      </c>
      <c r="K17" t="s">
        <v>32</v>
      </c>
      <c r="L17" t="s">
        <v>33</v>
      </c>
      <c r="M17" s="8">
        <v>-28791.54</v>
      </c>
      <c r="N17" t="s">
        <v>0</v>
      </c>
      <c r="O17" t="s">
        <v>7</v>
      </c>
      <c r="P17" t="s">
        <v>8</v>
      </c>
    </row>
    <row r="18" spans="1:16" ht="13.95" customHeight="1" x14ac:dyDescent="0.25">
      <c r="A18" s="2" t="s">
        <v>0</v>
      </c>
      <c r="B18" t="s">
        <v>1</v>
      </c>
      <c r="C18" s="3">
        <v>46275</v>
      </c>
      <c r="D18" t="s">
        <v>19</v>
      </c>
      <c r="E18" t="s">
        <v>0</v>
      </c>
      <c r="F18" s="5">
        <v>122183</v>
      </c>
      <c r="G18" s="5" t="str">
        <f>VLOOKUP(F18,'[1]46974159BCSET2026'!$F:$AE,26,0)</f>
        <v>Sim</v>
      </c>
      <c r="H18" t="s">
        <v>3</v>
      </c>
      <c r="I18" s="3">
        <v>46275</v>
      </c>
      <c r="J18" t="s">
        <v>4</v>
      </c>
      <c r="K18" t="s">
        <v>34</v>
      </c>
      <c r="L18" t="s">
        <v>35</v>
      </c>
      <c r="M18" s="8">
        <v>-26348.31</v>
      </c>
      <c r="N18" t="s">
        <v>0</v>
      </c>
      <c r="O18" t="s">
        <v>7</v>
      </c>
      <c r="P18" t="s">
        <v>8</v>
      </c>
    </row>
    <row r="19" spans="1:16" ht="13.95" customHeight="1" x14ac:dyDescent="0.25">
      <c r="A19" s="2" t="s">
        <v>0</v>
      </c>
      <c r="B19" t="s">
        <v>1</v>
      </c>
      <c r="C19" s="3">
        <v>46276</v>
      </c>
      <c r="D19" t="s">
        <v>2</v>
      </c>
      <c r="E19" t="s">
        <v>0</v>
      </c>
      <c r="F19" s="5">
        <v>122696</v>
      </c>
      <c r="G19" s="5" t="str">
        <f>VLOOKUP(F19,'[1]46974159BCSET2026'!$F:$AE,26,0)</f>
        <v>Sim</v>
      </c>
      <c r="H19" t="s">
        <v>3</v>
      </c>
      <c r="I19" s="3">
        <v>46276</v>
      </c>
      <c r="J19" t="s">
        <v>4</v>
      </c>
      <c r="K19" t="s">
        <v>36</v>
      </c>
      <c r="L19" t="s">
        <v>37</v>
      </c>
      <c r="M19" s="8">
        <v>-23363.98</v>
      </c>
      <c r="N19" t="s">
        <v>0</v>
      </c>
      <c r="O19" t="s">
        <v>7</v>
      </c>
      <c r="P19" t="s">
        <v>8</v>
      </c>
    </row>
    <row r="20" spans="1:16" ht="13.95" customHeight="1" x14ac:dyDescent="0.25">
      <c r="A20" s="2" t="s">
        <v>0</v>
      </c>
      <c r="B20" t="s">
        <v>1</v>
      </c>
      <c r="C20" s="3">
        <v>46276</v>
      </c>
      <c r="D20" t="s">
        <v>2</v>
      </c>
      <c r="E20" t="s">
        <v>0</v>
      </c>
      <c r="F20" s="5">
        <v>122190</v>
      </c>
      <c r="G20" s="5" t="str">
        <f>VLOOKUP(F20,'[1]46974159BCSET2026'!$F:$AE,26,0)</f>
        <v>Sim</v>
      </c>
      <c r="H20" t="s">
        <v>3</v>
      </c>
      <c r="I20" s="3">
        <v>46276</v>
      </c>
      <c r="J20" t="s">
        <v>4</v>
      </c>
      <c r="K20" t="s">
        <v>38</v>
      </c>
      <c r="L20" t="s">
        <v>39</v>
      </c>
      <c r="M20" s="8">
        <v>-23266.65</v>
      </c>
      <c r="N20" t="s">
        <v>0</v>
      </c>
      <c r="O20" t="s">
        <v>7</v>
      </c>
      <c r="P20" t="s">
        <v>8</v>
      </c>
    </row>
    <row r="21" spans="1:16" ht="13.95" customHeight="1" x14ac:dyDescent="0.25">
      <c r="A21" s="2" t="s">
        <v>0</v>
      </c>
      <c r="B21" t="s">
        <v>1</v>
      </c>
      <c r="C21" s="3">
        <v>46276</v>
      </c>
      <c r="D21" t="s">
        <v>2</v>
      </c>
      <c r="E21" t="s">
        <v>0</v>
      </c>
      <c r="F21" s="5">
        <v>122641</v>
      </c>
      <c r="G21" s="5" t="str">
        <f>VLOOKUP(F21,'[1]46974159BCSET2026'!$F:$AE,26,0)</f>
        <v>Sim</v>
      </c>
      <c r="H21" t="s">
        <v>3</v>
      </c>
      <c r="I21" s="3">
        <v>46276</v>
      </c>
      <c r="J21" t="s">
        <v>4</v>
      </c>
      <c r="K21" t="s">
        <v>40</v>
      </c>
      <c r="L21" t="s">
        <v>41</v>
      </c>
      <c r="M21" s="8">
        <v>-23045.21</v>
      </c>
      <c r="N21" t="s">
        <v>0</v>
      </c>
      <c r="O21" t="s">
        <v>7</v>
      </c>
      <c r="P21" t="s">
        <v>8</v>
      </c>
    </row>
    <row r="22" spans="1:16" ht="13.95" customHeight="1" x14ac:dyDescent="0.25">
      <c r="A22" s="2" t="s">
        <v>0</v>
      </c>
      <c r="B22" t="s">
        <v>1</v>
      </c>
      <c r="C22" s="3">
        <v>46276</v>
      </c>
      <c r="D22" t="s">
        <v>2</v>
      </c>
      <c r="E22" t="s">
        <v>0</v>
      </c>
      <c r="F22" s="5">
        <v>122696</v>
      </c>
      <c r="G22" s="5" t="str">
        <f>VLOOKUP(F22,'[1]46974159BCSET2026'!$F:$AE,26,0)</f>
        <v>Sim</v>
      </c>
      <c r="H22" t="s">
        <v>3</v>
      </c>
      <c r="I22" s="3">
        <v>46276</v>
      </c>
      <c r="J22" t="s">
        <v>4</v>
      </c>
      <c r="K22" t="s">
        <v>36</v>
      </c>
      <c r="L22" t="s">
        <v>37</v>
      </c>
      <c r="M22" s="8">
        <v>-22223.52</v>
      </c>
      <c r="N22" t="s">
        <v>0</v>
      </c>
      <c r="O22" t="s">
        <v>7</v>
      </c>
      <c r="P22" t="s">
        <v>8</v>
      </c>
    </row>
    <row r="23" spans="1:16" ht="13.95" customHeight="1" x14ac:dyDescent="0.25">
      <c r="A23" s="2" t="s">
        <v>0</v>
      </c>
      <c r="B23" t="s">
        <v>1</v>
      </c>
      <c r="C23" s="3">
        <v>46276</v>
      </c>
      <c r="D23" t="s">
        <v>2</v>
      </c>
      <c r="E23" t="s">
        <v>0</v>
      </c>
      <c r="F23" s="5">
        <v>122218</v>
      </c>
      <c r="G23" s="5" t="str">
        <f>VLOOKUP(F23,'[1]46974159BCSET2026'!$F:$AE,26,0)</f>
        <v>Sim</v>
      </c>
      <c r="H23" t="s">
        <v>3</v>
      </c>
      <c r="I23" s="3">
        <v>46276</v>
      </c>
      <c r="J23" t="s">
        <v>4</v>
      </c>
      <c r="K23" t="s">
        <v>32</v>
      </c>
      <c r="L23" t="s">
        <v>33</v>
      </c>
      <c r="M23" s="8">
        <v>-22167.15</v>
      </c>
      <c r="N23" t="s">
        <v>0</v>
      </c>
      <c r="O23" t="s">
        <v>7</v>
      </c>
      <c r="P23" t="s">
        <v>8</v>
      </c>
    </row>
    <row r="24" spans="1:16" ht="13.95" customHeight="1" x14ac:dyDescent="0.25">
      <c r="A24" s="2" t="s">
        <v>0</v>
      </c>
      <c r="B24" t="s">
        <v>1</v>
      </c>
      <c r="C24" s="3">
        <v>46276</v>
      </c>
      <c r="D24" t="s">
        <v>2</v>
      </c>
      <c r="E24" t="s">
        <v>0</v>
      </c>
      <c r="F24" s="5">
        <v>122230</v>
      </c>
      <c r="G24" s="5" t="str">
        <f>VLOOKUP(F24,'[1]46974159BCSET2026'!$F:$AE,26,0)</f>
        <v>Sim</v>
      </c>
      <c r="H24" t="s">
        <v>3</v>
      </c>
      <c r="I24" s="3">
        <v>46276</v>
      </c>
      <c r="J24" t="s">
        <v>4</v>
      </c>
      <c r="K24" t="s">
        <v>9</v>
      </c>
      <c r="L24" t="s">
        <v>10</v>
      </c>
      <c r="M24" s="8">
        <v>-21788.03</v>
      </c>
      <c r="N24" t="s">
        <v>0</v>
      </c>
      <c r="O24" t="s">
        <v>7</v>
      </c>
      <c r="P24" t="s">
        <v>8</v>
      </c>
    </row>
    <row r="25" spans="1:16" ht="13.95" customHeight="1" x14ac:dyDescent="0.25">
      <c r="A25" s="2" t="s">
        <v>0</v>
      </c>
      <c r="B25" t="s">
        <v>1</v>
      </c>
      <c r="C25" s="3">
        <v>46276</v>
      </c>
      <c r="D25" t="s">
        <v>2</v>
      </c>
      <c r="E25" t="s">
        <v>0</v>
      </c>
      <c r="F25" s="5">
        <v>122217</v>
      </c>
      <c r="G25" s="5" t="str">
        <f>VLOOKUP(F25,'[1]46974159BCSET2026'!$F:$AE,26,0)</f>
        <v>Sim</v>
      </c>
      <c r="H25" t="s">
        <v>3</v>
      </c>
      <c r="I25" s="3">
        <v>46276</v>
      </c>
      <c r="J25" t="s">
        <v>4</v>
      </c>
      <c r="K25" t="s">
        <v>42</v>
      </c>
      <c r="L25" t="s">
        <v>43</v>
      </c>
      <c r="M25" s="8">
        <v>-21655.35</v>
      </c>
      <c r="N25" t="s">
        <v>0</v>
      </c>
      <c r="O25" t="s">
        <v>7</v>
      </c>
      <c r="P25" t="s">
        <v>8</v>
      </c>
    </row>
    <row r="26" spans="1:16" ht="13.95" customHeight="1" x14ac:dyDescent="0.25">
      <c r="A26" s="2" t="s">
        <v>0</v>
      </c>
      <c r="B26" t="s">
        <v>1</v>
      </c>
      <c r="C26" s="3">
        <v>46276</v>
      </c>
      <c r="D26" t="s">
        <v>2</v>
      </c>
      <c r="E26" t="s">
        <v>0</v>
      </c>
      <c r="F26" s="5">
        <v>122536</v>
      </c>
      <c r="G26" s="5" t="str">
        <f>VLOOKUP(F26,'[1]46974159BCSET2026'!$F:$AE,26,0)</f>
        <v>Sim</v>
      </c>
      <c r="H26" t="s">
        <v>3</v>
      </c>
      <c r="I26" s="3">
        <v>46276</v>
      </c>
      <c r="J26" t="s">
        <v>4</v>
      </c>
      <c r="K26" t="s">
        <v>44</v>
      </c>
      <c r="L26" t="s">
        <v>45</v>
      </c>
      <c r="M26" s="8">
        <v>-21538.29</v>
      </c>
      <c r="N26" t="s">
        <v>0</v>
      </c>
      <c r="O26" t="s">
        <v>7</v>
      </c>
      <c r="P26" t="s">
        <v>8</v>
      </c>
    </row>
    <row r="27" spans="1:16" ht="13.95" customHeight="1" x14ac:dyDescent="0.25">
      <c r="A27" s="2" t="s">
        <v>0</v>
      </c>
      <c r="B27" t="s">
        <v>1</v>
      </c>
      <c r="C27" s="3">
        <v>46275</v>
      </c>
      <c r="D27" t="s">
        <v>19</v>
      </c>
      <c r="E27" t="s">
        <v>0</v>
      </c>
      <c r="F27" s="5">
        <v>122184</v>
      </c>
      <c r="G27" s="5" t="str">
        <f>VLOOKUP(F27,'[1]46974159BCSET2026'!$F:$AE,26,0)</f>
        <v>Sim</v>
      </c>
      <c r="H27" t="s">
        <v>3</v>
      </c>
      <c r="I27" s="3">
        <v>46275</v>
      </c>
      <c r="J27" t="s">
        <v>4</v>
      </c>
      <c r="K27" t="s">
        <v>46</v>
      </c>
      <c r="L27" t="s">
        <v>47</v>
      </c>
      <c r="M27" s="8">
        <v>-21091.31</v>
      </c>
      <c r="N27" t="s">
        <v>0</v>
      </c>
      <c r="O27" t="s">
        <v>7</v>
      </c>
      <c r="P27" t="s">
        <v>8</v>
      </c>
    </row>
    <row r="28" spans="1:16" ht="13.95" customHeight="1" x14ac:dyDescent="0.25">
      <c r="A28" s="2" t="s">
        <v>0</v>
      </c>
      <c r="B28" t="s">
        <v>1</v>
      </c>
      <c r="C28" s="3">
        <v>46276</v>
      </c>
      <c r="D28" t="s">
        <v>2</v>
      </c>
      <c r="E28" t="s">
        <v>0</v>
      </c>
      <c r="F28" s="5">
        <v>122191</v>
      </c>
      <c r="G28" s="5" t="str">
        <f>VLOOKUP(F28,'[1]46974159BCSET2026'!$F:$AE,26,0)</f>
        <v>Sim</v>
      </c>
      <c r="H28" t="s">
        <v>3</v>
      </c>
      <c r="I28" s="3">
        <v>46276</v>
      </c>
      <c r="J28" t="s">
        <v>4</v>
      </c>
      <c r="K28" t="s">
        <v>48</v>
      </c>
      <c r="L28" t="s">
        <v>49</v>
      </c>
      <c r="M28" s="8">
        <v>-20759.759999999998</v>
      </c>
      <c r="N28" t="s">
        <v>0</v>
      </c>
      <c r="O28" t="s">
        <v>7</v>
      </c>
      <c r="P28" t="s">
        <v>8</v>
      </c>
    </row>
    <row r="29" spans="1:16" ht="13.95" customHeight="1" x14ac:dyDescent="0.25">
      <c r="A29" s="2" t="s">
        <v>0</v>
      </c>
      <c r="B29" t="s">
        <v>1</v>
      </c>
      <c r="C29" s="3">
        <v>46276</v>
      </c>
      <c r="D29" t="s">
        <v>2</v>
      </c>
      <c r="E29" t="s">
        <v>0</v>
      </c>
      <c r="F29" s="5">
        <v>122774</v>
      </c>
      <c r="G29" s="5" t="str">
        <f>VLOOKUP(F29,'[1]46974159BCSET2026'!$F:$AE,26,0)</f>
        <v>Sim</v>
      </c>
      <c r="H29" t="s">
        <v>3</v>
      </c>
      <c r="I29" s="3">
        <v>46276</v>
      </c>
      <c r="J29" t="s">
        <v>4</v>
      </c>
      <c r="K29" t="s">
        <v>50</v>
      </c>
      <c r="L29" t="s">
        <v>51</v>
      </c>
      <c r="M29" s="8">
        <v>-20483.61</v>
      </c>
      <c r="N29" t="s">
        <v>0</v>
      </c>
      <c r="O29" t="s">
        <v>7</v>
      </c>
      <c r="P29" t="s">
        <v>8</v>
      </c>
    </row>
    <row r="30" spans="1:16" ht="13.95" customHeight="1" x14ac:dyDescent="0.25">
      <c r="A30" s="2" t="s">
        <v>0</v>
      </c>
      <c r="B30" t="s">
        <v>1</v>
      </c>
      <c r="C30" s="3">
        <v>46276</v>
      </c>
      <c r="D30" t="s">
        <v>2</v>
      </c>
      <c r="E30" t="s">
        <v>0</v>
      </c>
      <c r="F30" s="5">
        <v>122261</v>
      </c>
      <c r="G30" s="5" t="str">
        <f>VLOOKUP(F30,'[1]46974159BCSET2026'!$F:$AE,26,0)</f>
        <v>Sim</v>
      </c>
      <c r="H30" t="s">
        <v>3</v>
      </c>
      <c r="I30" s="3">
        <v>46276</v>
      </c>
      <c r="J30" t="s">
        <v>4</v>
      </c>
      <c r="K30" t="s">
        <v>52</v>
      </c>
      <c r="L30" t="s">
        <v>53</v>
      </c>
      <c r="M30" s="8">
        <v>-19838.509999999998</v>
      </c>
      <c r="N30" t="s">
        <v>0</v>
      </c>
      <c r="O30" t="s">
        <v>7</v>
      </c>
      <c r="P30" t="s">
        <v>8</v>
      </c>
    </row>
    <row r="31" spans="1:16" ht="13.95" customHeight="1" x14ac:dyDescent="0.25">
      <c r="A31" s="2" t="s">
        <v>0</v>
      </c>
      <c r="B31" t="s">
        <v>1</v>
      </c>
      <c r="C31" s="3">
        <v>46276</v>
      </c>
      <c r="D31" t="s">
        <v>2</v>
      </c>
      <c r="E31" t="s">
        <v>0</v>
      </c>
      <c r="F31" s="5">
        <v>122692</v>
      </c>
      <c r="G31" s="5" t="str">
        <f>VLOOKUP(F31,'[1]46974159BCSET2026'!$F:$AE,26,0)</f>
        <v>Sim</v>
      </c>
      <c r="H31" t="s">
        <v>3</v>
      </c>
      <c r="I31" s="3">
        <v>46276</v>
      </c>
      <c r="J31" t="s">
        <v>4</v>
      </c>
      <c r="K31" t="s">
        <v>54</v>
      </c>
      <c r="L31" t="s">
        <v>55</v>
      </c>
      <c r="M31" s="8">
        <v>-19521.189999999999</v>
      </c>
      <c r="N31" t="s">
        <v>0</v>
      </c>
      <c r="O31" t="s">
        <v>7</v>
      </c>
      <c r="P31" t="s">
        <v>8</v>
      </c>
    </row>
    <row r="32" spans="1:16" ht="13.95" customHeight="1" x14ac:dyDescent="0.25">
      <c r="A32" s="2" t="s">
        <v>0</v>
      </c>
      <c r="B32" t="s">
        <v>1</v>
      </c>
      <c r="C32" s="3">
        <v>46276</v>
      </c>
      <c r="D32" t="s">
        <v>2</v>
      </c>
      <c r="E32" t="s">
        <v>0</v>
      </c>
      <c r="F32" s="5">
        <v>122245</v>
      </c>
      <c r="G32" s="5" t="str">
        <f>VLOOKUP(F32,'[1]46974159BCSET2026'!$F:$AE,26,0)</f>
        <v>Sim</v>
      </c>
      <c r="H32" t="s">
        <v>3</v>
      </c>
      <c r="I32" s="3">
        <v>46276</v>
      </c>
      <c r="J32" t="s">
        <v>4</v>
      </c>
      <c r="K32" t="s">
        <v>56</v>
      </c>
      <c r="L32" t="s">
        <v>57</v>
      </c>
      <c r="M32" s="8">
        <v>-19474.79</v>
      </c>
      <c r="N32" t="s">
        <v>0</v>
      </c>
      <c r="O32" t="s">
        <v>7</v>
      </c>
      <c r="P32" t="s">
        <v>8</v>
      </c>
    </row>
    <row r="33" spans="1:16" ht="13.95" customHeight="1" x14ac:dyDescent="0.25">
      <c r="A33" s="2" t="s">
        <v>0</v>
      </c>
      <c r="B33" t="s">
        <v>1</v>
      </c>
      <c r="C33" s="3">
        <v>46276</v>
      </c>
      <c r="D33" t="s">
        <v>2</v>
      </c>
      <c r="E33" t="s">
        <v>0</v>
      </c>
      <c r="F33" s="5">
        <v>122525</v>
      </c>
      <c r="G33" s="5" t="str">
        <f>VLOOKUP(F33,'[1]46974159BCSET2026'!$F:$AE,26,0)</f>
        <v>Sim</v>
      </c>
      <c r="H33" t="s">
        <v>3</v>
      </c>
      <c r="I33" s="3">
        <v>46276</v>
      </c>
      <c r="J33" t="s">
        <v>4</v>
      </c>
      <c r="K33" t="s">
        <v>58</v>
      </c>
      <c r="L33" t="s">
        <v>59</v>
      </c>
      <c r="M33" s="8">
        <v>-19304.95</v>
      </c>
      <c r="N33" t="s">
        <v>0</v>
      </c>
      <c r="O33" t="s">
        <v>7</v>
      </c>
      <c r="P33" t="s">
        <v>8</v>
      </c>
    </row>
    <row r="34" spans="1:16" ht="13.95" customHeight="1" x14ac:dyDescent="0.25">
      <c r="A34" s="2" t="s">
        <v>0</v>
      </c>
      <c r="B34" t="s">
        <v>1</v>
      </c>
      <c r="C34" s="3">
        <v>46276</v>
      </c>
      <c r="D34" t="s">
        <v>2</v>
      </c>
      <c r="E34" t="s">
        <v>0</v>
      </c>
      <c r="F34" s="5">
        <v>122262</v>
      </c>
      <c r="G34" s="5" t="str">
        <f>VLOOKUP(F34,'[1]46974159BCSET2026'!$F:$AE,26,0)</f>
        <v>Sim</v>
      </c>
      <c r="H34" t="s">
        <v>3</v>
      </c>
      <c r="I34" s="3">
        <v>46276</v>
      </c>
      <c r="J34" t="s">
        <v>4</v>
      </c>
      <c r="K34" t="s">
        <v>60</v>
      </c>
      <c r="L34" t="s">
        <v>61</v>
      </c>
      <c r="M34" s="8">
        <v>-19081.63</v>
      </c>
      <c r="N34" t="s">
        <v>0</v>
      </c>
      <c r="O34" t="s">
        <v>7</v>
      </c>
      <c r="P34" t="s">
        <v>8</v>
      </c>
    </row>
    <row r="35" spans="1:16" ht="13.95" customHeight="1" x14ac:dyDescent="0.25">
      <c r="A35" s="2" t="s">
        <v>0</v>
      </c>
      <c r="B35" t="s">
        <v>1</v>
      </c>
      <c r="C35" s="3">
        <v>46276</v>
      </c>
      <c r="D35" t="s">
        <v>2</v>
      </c>
      <c r="E35" t="s">
        <v>0</v>
      </c>
      <c r="F35" s="5">
        <v>122690</v>
      </c>
      <c r="G35" s="5" t="str">
        <f>VLOOKUP(F35,'[1]46974159BCSET2026'!$F:$AE,26,0)</f>
        <v>Sim</v>
      </c>
      <c r="H35" t="s">
        <v>3</v>
      </c>
      <c r="I35" s="3">
        <v>46276</v>
      </c>
      <c r="J35" t="s">
        <v>4</v>
      </c>
      <c r="K35" t="s">
        <v>17</v>
      </c>
      <c r="L35" t="s">
        <v>18</v>
      </c>
      <c r="M35" s="8">
        <v>-18775.509999999998</v>
      </c>
      <c r="N35" t="s">
        <v>0</v>
      </c>
      <c r="O35" t="s">
        <v>7</v>
      </c>
      <c r="P35" t="s">
        <v>8</v>
      </c>
    </row>
    <row r="36" spans="1:16" ht="13.95" customHeight="1" x14ac:dyDescent="0.25">
      <c r="A36" s="2" t="s">
        <v>0</v>
      </c>
      <c r="B36" t="s">
        <v>1</v>
      </c>
      <c r="C36" s="3">
        <v>46276</v>
      </c>
      <c r="D36" t="s">
        <v>2</v>
      </c>
      <c r="E36" t="s">
        <v>0</v>
      </c>
      <c r="F36" s="5">
        <v>122203</v>
      </c>
      <c r="G36" s="5" t="str">
        <f>VLOOKUP(F36,'[1]46974159BCSET2026'!$F:$AE,26,0)</f>
        <v>Sim</v>
      </c>
      <c r="H36" t="s">
        <v>3</v>
      </c>
      <c r="I36" s="3">
        <v>46276</v>
      </c>
      <c r="J36" t="s">
        <v>4</v>
      </c>
      <c r="K36" t="s">
        <v>24</v>
      </c>
      <c r="L36" t="s">
        <v>25</v>
      </c>
      <c r="M36" s="8">
        <v>-18724.490000000002</v>
      </c>
      <c r="N36" t="s">
        <v>0</v>
      </c>
      <c r="O36" t="s">
        <v>7</v>
      </c>
      <c r="P36" t="s">
        <v>8</v>
      </c>
    </row>
    <row r="37" spans="1:16" ht="13.95" customHeight="1" x14ac:dyDescent="0.25">
      <c r="A37" s="2" t="s">
        <v>0</v>
      </c>
      <c r="B37" t="s">
        <v>1</v>
      </c>
      <c r="C37" s="3">
        <v>46276</v>
      </c>
      <c r="D37" t="s">
        <v>2</v>
      </c>
      <c r="E37" t="s">
        <v>0</v>
      </c>
      <c r="F37" s="5">
        <v>122629</v>
      </c>
      <c r="G37" s="5" t="str">
        <f>VLOOKUP(F37,'[1]46974159BCSET2026'!$F:$AE,26,0)</f>
        <v>Sim</v>
      </c>
      <c r="H37" t="s">
        <v>3</v>
      </c>
      <c r="I37" s="3">
        <v>46276</v>
      </c>
      <c r="J37" t="s">
        <v>4</v>
      </c>
      <c r="K37" t="s">
        <v>13</v>
      </c>
      <c r="L37" t="s">
        <v>14</v>
      </c>
      <c r="M37" s="8">
        <v>-17452.939999999999</v>
      </c>
      <c r="N37" t="s">
        <v>0</v>
      </c>
      <c r="O37" t="s">
        <v>7</v>
      </c>
      <c r="P37" t="s">
        <v>8</v>
      </c>
    </row>
    <row r="38" spans="1:16" ht="13.95" customHeight="1" x14ac:dyDescent="0.25">
      <c r="A38" s="2" t="s">
        <v>0</v>
      </c>
      <c r="B38" t="s">
        <v>1</v>
      </c>
      <c r="C38" s="3">
        <v>46276</v>
      </c>
      <c r="D38" t="s">
        <v>2</v>
      </c>
      <c r="E38" t="s">
        <v>0</v>
      </c>
      <c r="F38" s="5">
        <v>122221</v>
      </c>
      <c r="G38" s="5" t="str">
        <f>VLOOKUP(F38,'[1]46974159BCSET2026'!$F:$AE,26,0)</f>
        <v>Sim</v>
      </c>
      <c r="H38" t="s">
        <v>3</v>
      </c>
      <c r="I38" s="3">
        <v>46276</v>
      </c>
      <c r="J38" t="s">
        <v>4</v>
      </c>
      <c r="K38" t="s">
        <v>62</v>
      </c>
      <c r="L38" t="s">
        <v>63</v>
      </c>
      <c r="M38" s="8">
        <v>-16995.810000000001</v>
      </c>
      <c r="N38" t="s">
        <v>0</v>
      </c>
      <c r="O38" t="s">
        <v>7</v>
      </c>
      <c r="P38" t="s">
        <v>8</v>
      </c>
    </row>
    <row r="39" spans="1:16" ht="13.95" customHeight="1" x14ac:dyDescent="0.25">
      <c r="A39" s="2" t="s">
        <v>0</v>
      </c>
      <c r="B39" t="s">
        <v>1</v>
      </c>
      <c r="C39" s="3">
        <v>46276</v>
      </c>
      <c r="D39" t="s">
        <v>2</v>
      </c>
      <c r="E39" t="s">
        <v>0</v>
      </c>
      <c r="F39" s="5">
        <v>122262</v>
      </c>
      <c r="G39" s="5" t="str">
        <f>VLOOKUP(F39,'[1]46974159BCSET2026'!$F:$AE,26,0)</f>
        <v>Sim</v>
      </c>
      <c r="H39" t="s">
        <v>3</v>
      </c>
      <c r="I39" s="3">
        <v>46276</v>
      </c>
      <c r="J39" t="s">
        <v>4</v>
      </c>
      <c r="K39" t="s">
        <v>60</v>
      </c>
      <c r="L39" t="s">
        <v>61</v>
      </c>
      <c r="M39" s="8">
        <v>-16163.27</v>
      </c>
      <c r="N39" t="s">
        <v>0</v>
      </c>
      <c r="O39" t="s">
        <v>7</v>
      </c>
      <c r="P39" t="s">
        <v>8</v>
      </c>
    </row>
    <row r="40" spans="1:16" ht="13.95" customHeight="1" x14ac:dyDescent="0.25">
      <c r="A40" s="2" t="s">
        <v>0</v>
      </c>
      <c r="B40" t="s">
        <v>1</v>
      </c>
      <c r="C40" s="3">
        <v>46276</v>
      </c>
      <c r="D40" t="s">
        <v>2</v>
      </c>
      <c r="E40" t="s">
        <v>0</v>
      </c>
      <c r="F40" s="5">
        <v>122629</v>
      </c>
      <c r="G40" s="5" t="str">
        <f>VLOOKUP(F40,'[1]46974159BCSET2026'!$F:$AE,26,0)</f>
        <v>Sim</v>
      </c>
      <c r="H40" t="s">
        <v>3</v>
      </c>
      <c r="I40" s="3">
        <v>46276</v>
      </c>
      <c r="J40" t="s">
        <v>4</v>
      </c>
      <c r="K40" t="s">
        <v>13</v>
      </c>
      <c r="L40" t="s">
        <v>14</v>
      </c>
      <c r="M40" s="8">
        <v>-15835.66</v>
      </c>
      <c r="N40" t="s">
        <v>0</v>
      </c>
      <c r="O40" t="s">
        <v>7</v>
      </c>
      <c r="P40" t="s">
        <v>8</v>
      </c>
    </row>
    <row r="41" spans="1:16" ht="13.95" customHeight="1" x14ac:dyDescent="0.25">
      <c r="A41" s="2" t="s">
        <v>0</v>
      </c>
      <c r="B41" t="s">
        <v>1</v>
      </c>
      <c r="C41" s="3">
        <v>46276</v>
      </c>
      <c r="D41" t="s">
        <v>2</v>
      </c>
      <c r="E41" t="s">
        <v>0</v>
      </c>
      <c r="F41" s="5">
        <v>122774</v>
      </c>
      <c r="G41" s="5" t="str">
        <f>VLOOKUP(F41,'[1]46974159BCSET2026'!$F:$AE,26,0)</f>
        <v>Sim</v>
      </c>
      <c r="H41" t="s">
        <v>3</v>
      </c>
      <c r="I41" s="3">
        <v>46276</v>
      </c>
      <c r="J41" t="s">
        <v>4</v>
      </c>
      <c r="K41" t="s">
        <v>50</v>
      </c>
      <c r="L41" t="s">
        <v>51</v>
      </c>
      <c r="M41" s="8">
        <v>-15454.39</v>
      </c>
      <c r="N41" t="s">
        <v>0</v>
      </c>
      <c r="O41" t="s">
        <v>7</v>
      </c>
      <c r="P41" t="s">
        <v>8</v>
      </c>
    </row>
    <row r="42" spans="1:16" ht="13.95" customHeight="1" x14ac:dyDescent="0.25">
      <c r="A42" s="2" t="s">
        <v>0</v>
      </c>
      <c r="B42" t="s">
        <v>1</v>
      </c>
      <c r="C42" s="3">
        <v>46276</v>
      </c>
      <c r="D42" t="s">
        <v>2</v>
      </c>
      <c r="E42" t="s">
        <v>0</v>
      </c>
      <c r="F42" s="5">
        <v>122662</v>
      </c>
      <c r="G42" s="5" t="str">
        <f>VLOOKUP(F42,'[1]46974159BCSET2026'!$F:$AE,26,0)</f>
        <v>Sim</v>
      </c>
      <c r="H42" t="s">
        <v>3</v>
      </c>
      <c r="I42" s="3">
        <v>46276</v>
      </c>
      <c r="J42" t="s">
        <v>4</v>
      </c>
      <c r="K42" t="s">
        <v>64</v>
      </c>
      <c r="L42" t="s">
        <v>65</v>
      </c>
      <c r="M42" s="8">
        <v>-14976.55</v>
      </c>
      <c r="N42" t="s">
        <v>0</v>
      </c>
      <c r="O42" t="s">
        <v>7</v>
      </c>
      <c r="P42" t="s">
        <v>8</v>
      </c>
    </row>
    <row r="43" spans="1:16" ht="13.95" customHeight="1" x14ac:dyDescent="0.25">
      <c r="A43" s="2" t="s">
        <v>0</v>
      </c>
      <c r="B43" t="s">
        <v>1</v>
      </c>
      <c r="C43" s="3">
        <v>46276</v>
      </c>
      <c r="D43" t="s">
        <v>2</v>
      </c>
      <c r="E43" t="s">
        <v>0</v>
      </c>
      <c r="F43" s="5">
        <v>122275</v>
      </c>
      <c r="G43" s="5" t="str">
        <f>VLOOKUP(F43,'[1]46974159BCSET2026'!$F:$AE,26,0)</f>
        <v>Sim</v>
      </c>
      <c r="H43" t="s">
        <v>3</v>
      </c>
      <c r="I43" s="3">
        <v>46276</v>
      </c>
      <c r="J43" t="s">
        <v>4</v>
      </c>
      <c r="K43" t="s">
        <v>5</v>
      </c>
      <c r="L43" t="s">
        <v>6</v>
      </c>
      <c r="M43" s="8">
        <v>-14277.55</v>
      </c>
      <c r="N43" t="s">
        <v>0</v>
      </c>
      <c r="O43" t="s">
        <v>7</v>
      </c>
      <c r="P43" t="s">
        <v>8</v>
      </c>
    </row>
    <row r="44" spans="1:16" ht="13.95" customHeight="1" x14ac:dyDescent="0.25">
      <c r="A44" s="2" t="s">
        <v>0</v>
      </c>
      <c r="B44" t="s">
        <v>1</v>
      </c>
      <c r="C44" s="3">
        <v>46276</v>
      </c>
      <c r="D44" t="s">
        <v>2</v>
      </c>
      <c r="E44" t="s">
        <v>0</v>
      </c>
      <c r="F44" s="5">
        <v>122625</v>
      </c>
      <c r="G44" s="5" t="str">
        <f>VLOOKUP(F44,'[1]46974159BCSET2026'!$F:$AE,26,0)</f>
        <v>Sim</v>
      </c>
      <c r="H44" t="s">
        <v>3</v>
      </c>
      <c r="I44" s="3">
        <v>46276</v>
      </c>
      <c r="J44" t="s">
        <v>4</v>
      </c>
      <c r="K44" t="s">
        <v>66</v>
      </c>
      <c r="L44" t="s">
        <v>67</v>
      </c>
      <c r="M44" s="8">
        <v>-13775.51</v>
      </c>
      <c r="N44" t="s">
        <v>0</v>
      </c>
      <c r="O44" t="s">
        <v>7</v>
      </c>
      <c r="P44" t="s">
        <v>8</v>
      </c>
    </row>
    <row r="45" spans="1:16" ht="13.95" customHeight="1" x14ac:dyDescent="0.25">
      <c r="A45" s="2" t="s">
        <v>0</v>
      </c>
      <c r="B45" t="s">
        <v>1</v>
      </c>
      <c r="C45" s="3">
        <v>46276</v>
      </c>
      <c r="D45" t="s">
        <v>2</v>
      </c>
      <c r="E45" t="s">
        <v>0</v>
      </c>
      <c r="F45" s="5">
        <v>122261</v>
      </c>
      <c r="G45" s="5" t="str">
        <f>VLOOKUP(F45,'[1]46974159BCSET2026'!$F:$AE,26,0)</f>
        <v>Sim</v>
      </c>
      <c r="H45" t="s">
        <v>3</v>
      </c>
      <c r="I45" s="3">
        <v>46276</v>
      </c>
      <c r="J45" t="s">
        <v>4</v>
      </c>
      <c r="K45" t="s">
        <v>52</v>
      </c>
      <c r="L45" t="s">
        <v>53</v>
      </c>
      <c r="M45" s="8">
        <v>-13635.46</v>
      </c>
      <c r="N45" t="s">
        <v>0</v>
      </c>
      <c r="O45" t="s">
        <v>7</v>
      </c>
      <c r="P45" t="s">
        <v>8</v>
      </c>
    </row>
    <row r="46" spans="1:16" ht="13.95" customHeight="1" x14ac:dyDescent="0.25">
      <c r="A46" s="2" t="s">
        <v>0</v>
      </c>
      <c r="B46" t="s">
        <v>1</v>
      </c>
      <c r="C46" s="3">
        <v>46273</v>
      </c>
      <c r="D46" t="s">
        <v>68</v>
      </c>
      <c r="E46" t="s">
        <v>0</v>
      </c>
      <c r="F46" s="5">
        <v>122181</v>
      </c>
      <c r="G46" s="5" t="str">
        <f>VLOOKUP(F46,'[1]46974159BCSET2026'!$F:$AE,26,0)</f>
        <v>Sim</v>
      </c>
      <c r="H46" t="s">
        <v>3</v>
      </c>
      <c r="I46" s="3">
        <v>46273</v>
      </c>
      <c r="J46" t="s">
        <v>4</v>
      </c>
      <c r="K46" t="s">
        <v>69</v>
      </c>
      <c r="L46" t="s">
        <v>70</v>
      </c>
      <c r="M46" s="8">
        <v>-13463.02</v>
      </c>
      <c r="N46" t="s">
        <v>0</v>
      </c>
      <c r="O46" t="s">
        <v>7</v>
      </c>
      <c r="P46" t="s">
        <v>8</v>
      </c>
    </row>
    <row r="47" spans="1:16" ht="13.95" customHeight="1" x14ac:dyDescent="0.25">
      <c r="A47" s="2" t="s">
        <v>0</v>
      </c>
      <c r="B47" t="s">
        <v>1</v>
      </c>
      <c r="C47" s="3">
        <v>46276</v>
      </c>
      <c r="D47" t="s">
        <v>2</v>
      </c>
      <c r="E47" t="s">
        <v>0</v>
      </c>
      <c r="F47" s="5">
        <v>122500</v>
      </c>
      <c r="G47" s="5" t="str">
        <f>VLOOKUP(F47,'[1]46974159BCSET2026'!$F:$AE,26,0)</f>
        <v>Sim</v>
      </c>
      <c r="H47" t="s">
        <v>3</v>
      </c>
      <c r="I47" s="3">
        <v>46276</v>
      </c>
      <c r="J47" t="s">
        <v>4</v>
      </c>
      <c r="K47" t="s">
        <v>71</v>
      </c>
      <c r="L47" t="s">
        <v>72</v>
      </c>
      <c r="M47" s="8">
        <v>-13061.21</v>
      </c>
      <c r="N47" t="s">
        <v>0</v>
      </c>
      <c r="O47" t="s">
        <v>7</v>
      </c>
      <c r="P47" t="s">
        <v>8</v>
      </c>
    </row>
    <row r="48" spans="1:16" ht="13.95" customHeight="1" x14ac:dyDescent="0.25">
      <c r="A48" s="2" t="s">
        <v>0</v>
      </c>
      <c r="B48" t="s">
        <v>1</v>
      </c>
      <c r="C48" s="3">
        <v>46276</v>
      </c>
      <c r="D48" t="s">
        <v>2</v>
      </c>
      <c r="E48" t="s">
        <v>0</v>
      </c>
      <c r="F48" s="5">
        <v>122536</v>
      </c>
      <c r="G48" s="5" t="str">
        <f>VLOOKUP(F48,'[1]46974159BCSET2026'!$F:$AE,26,0)</f>
        <v>Sim</v>
      </c>
      <c r="H48" t="s">
        <v>3</v>
      </c>
      <c r="I48" s="3">
        <v>46276</v>
      </c>
      <c r="J48" t="s">
        <v>4</v>
      </c>
      <c r="K48" t="s">
        <v>44</v>
      </c>
      <c r="L48" t="s">
        <v>45</v>
      </c>
      <c r="M48" s="8">
        <v>-12722.1</v>
      </c>
      <c r="N48" t="s">
        <v>0</v>
      </c>
      <c r="O48" t="s">
        <v>7</v>
      </c>
      <c r="P48" t="s">
        <v>8</v>
      </c>
    </row>
    <row r="49" spans="1:16" ht="13.95" customHeight="1" x14ac:dyDescent="0.25">
      <c r="A49" s="2" t="s">
        <v>0</v>
      </c>
      <c r="B49" t="s">
        <v>1</v>
      </c>
      <c r="C49" s="3">
        <v>46276</v>
      </c>
      <c r="D49" t="s">
        <v>2</v>
      </c>
      <c r="E49" t="s">
        <v>0</v>
      </c>
      <c r="F49" s="5">
        <v>122516</v>
      </c>
      <c r="G49" s="5" t="str">
        <f>VLOOKUP(F49,'[1]46974159BCSET2026'!$F:$AE,26,0)</f>
        <v>Sim</v>
      </c>
      <c r="H49" t="s">
        <v>3</v>
      </c>
      <c r="I49" s="3">
        <v>46276</v>
      </c>
      <c r="J49" t="s">
        <v>4</v>
      </c>
      <c r="K49" t="s">
        <v>73</v>
      </c>
      <c r="L49" t="s">
        <v>74</v>
      </c>
      <c r="M49" s="8">
        <v>-12169.44</v>
      </c>
      <c r="N49" t="s">
        <v>0</v>
      </c>
      <c r="O49" t="s">
        <v>7</v>
      </c>
      <c r="P49" t="s">
        <v>8</v>
      </c>
    </row>
    <row r="50" spans="1:16" ht="13.95" customHeight="1" x14ac:dyDescent="0.25">
      <c r="A50" s="2" t="s">
        <v>0</v>
      </c>
      <c r="B50" t="s">
        <v>1</v>
      </c>
      <c r="C50" s="3">
        <v>46273</v>
      </c>
      <c r="D50" t="s">
        <v>68</v>
      </c>
      <c r="E50" t="s">
        <v>0</v>
      </c>
      <c r="F50" s="5">
        <v>122181</v>
      </c>
      <c r="G50" s="5" t="str">
        <f>VLOOKUP(F50,'[1]46974159BCSET2026'!$F:$AE,26,0)</f>
        <v>Sim</v>
      </c>
      <c r="H50" t="s">
        <v>3</v>
      </c>
      <c r="I50" s="3">
        <v>46273</v>
      </c>
      <c r="J50" t="s">
        <v>4</v>
      </c>
      <c r="K50" t="s">
        <v>69</v>
      </c>
      <c r="L50" t="s">
        <v>70</v>
      </c>
      <c r="M50" s="8">
        <v>-11437.6</v>
      </c>
      <c r="N50" t="s">
        <v>0</v>
      </c>
      <c r="O50" t="s">
        <v>7</v>
      </c>
      <c r="P50" t="s">
        <v>8</v>
      </c>
    </row>
    <row r="51" spans="1:16" ht="13.95" customHeight="1" x14ac:dyDescent="0.25">
      <c r="A51" s="2" t="s">
        <v>0</v>
      </c>
      <c r="B51" t="s">
        <v>1</v>
      </c>
      <c r="C51" s="3">
        <v>46276</v>
      </c>
      <c r="D51" t="s">
        <v>2</v>
      </c>
      <c r="E51" t="s">
        <v>0</v>
      </c>
      <c r="F51" s="5">
        <v>122200</v>
      </c>
      <c r="G51" s="5" t="str">
        <f>VLOOKUP(F51,'[1]46974159BCSET2026'!$F:$AE,26,0)</f>
        <v>Sim</v>
      </c>
      <c r="H51" t="s">
        <v>3</v>
      </c>
      <c r="I51" s="3">
        <v>46276</v>
      </c>
      <c r="J51" t="s">
        <v>4</v>
      </c>
      <c r="K51" t="s">
        <v>75</v>
      </c>
      <c r="L51" t="s">
        <v>76</v>
      </c>
      <c r="M51" s="8">
        <v>-11326.23</v>
      </c>
      <c r="N51" t="s">
        <v>0</v>
      </c>
      <c r="O51" t="s">
        <v>7</v>
      </c>
      <c r="P51" t="s">
        <v>8</v>
      </c>
    </row>
    <row r="52" spans="1:16" ht="13.95" customHeight="1" x14ac:dyDescent="0.25">
      <c r="A52" s="2" t="s">
        <v>0</v>
      </c>
      <c r="B52" t="s">
        <v>1</v>
      </c>
      <c r="C52" s="3">
        <v>46276</v>
      </c>
      <c r="D52" t="s">
        <v>2</v>
      </c>
      <c r="E52" t="s">
        <v>0</v>
      </c>
      <c r="F52" s="5">
        <v>122798</v>
      </c>
      <c r="G52" s="5" t="str">
        <f>VLOOKUP(F52,'[1]46974159BCSET2026'!$F:$AE,26,0)</f>
        <v>Sim</v>
      </c>
      <c r="H52" t="s">
        <v>3</v>
      </c>
      <c r="I52" s="3">
        <v>46276</v>
      </c>
      <c r="J52" t="s">
        <v>4</v>
      </c>
      <c r="K52" t="s">
        <v>77</v>
      </c>
      <c r="L52" t="s">
        <v>78</v>
      </c>
      <c r="M52" s="8">
        <v>-11224.49</v>
      </c>
      <c r="N52" t="s">
        <v>0</v>
      </c>
      <c r="O52" t="s">
        <v>7</v>
      </c>
      <c r="P52" t="s">
        <v>8</v>
      </c>
    </row>
    <row r="53" spans="1:16" ht="13.95" customHeight="1" x14ac:dyDescent="0.25">
      <c r="A53" s="2" t="s">
        <v>0</v>
      </c>
      <c r="B53" t="s">
        <v>1</v>
      </c>
      <c r="C53" s="3">
        <v>46276</v>
      </c>
      <c r="D53" t="s">
        <v>2</v>
      </c>
      <c r="E53" t="s">
        <v>0</v>
      </c>
      <c r="F53" s="5">
        <v>122501</v>
      </c>
      <c r="G53" s="5" t="str">
        <f>VLOOKUP(F53,'[1]46974159BCSET2026'!$F:$AE,26,0)</f>
        <v>Sim</v>
      </c>
      <c r="H53" t="s">
        <v>3</v>
      </c>
      <c r="I53" s="3">
        <v>46276</v>
      </c>
      <c r="J53" t="s">
        <v>4</v>
      </c>
      <c r="K53" t="s">
        <v>79</v>
      </c>
      <c r="L53" t="s">
        <v>80</v>
      </c>
      <c r="M53" s="8">
        <v>-10974.23</v>
      </c>
      <c r="N53" t="s">
        <v>0</v>
      </c>
      <c r="O53" t="s">
        <v>7</v>
      </c>
      <c r="P53" t="s">
        <v>8</v>
      </c>
    </row>
    <row r="54" spans="1:16" ht="13.95" customHeight="1" x14ac:dyDescent="0.25">
      <c r="A54" s="2" t="s">
        <v>0</v>
      </c>
      <c r="B54" t="s">
        <v>1</v>
      </c>
      <c r="C54" s="3">
        <v>46276</v>
      </c>
      <c r="D54" t="s">
        <v>2</v>
      </c>
      <c r="E54" t="s">
        <v>0</v>
      </c>
      <c r="F54" s="5">
        <v>122662</v>
      </c>
      <c r="G54" s="5" t="str">
        <f>VLOOKUP(F54,'[1]46974159BCSET2026'!$F:$AE,26,0)</f>
        <v>Sim</v>
      </c>
      <c r="H54" t="s">
        <v>3</v>
      </c>
      <c r="I54" s="3">
        <v>46276</v>
      </c>
      <c r="J54" t="s">
        <v>4</v>
      </c>
      <c r="K54" t="s">
        <v>64</v>
      </c>
      <c r="L54" t="s">
        <v>65</v>
      </c>
      <c r="M54" s="8">
        <v>-10930.92</v>
      </c>
      <c r="N54" t="s">
        <v>0</v>
      </c>
      <c r="O54" t="s">
        <v>7</v>
      </c>
      <c r="P54" t="s">
        <v>8</v>
      </c>
    </row>
    <row r="55" spans="1:16" ht="13.95" hidden="1" customHeight="1" x14ac:dyDescent="0.25">
      <c r="A55" s="2" t="s">
        <v>0</v>
      </c>
      <c r="B55" t="s">
        <v>1</v>
      </c>
      <c r="C55" s="3">
        <v>46276</v>
      </c>
      <c r="D55" t="s">
        <v>2</v>
      </c>
      <c r="E55" t="s">
        <v>0</v>
      </c>
      <c r="F55" s="5">
        <v>122803</v>
      </c>
      <c r="G55" s="5" t="str">
        <f>VLOOKUP(F55,'[1]46974159BCSET2026'!$F:$AE,26,0)</f>
        <v>Cancelada</v>
      </c>
      <c r="H55" t="s">
        <v>3</v>
      </c>
      <c r="I55" s="3">
        <v>46276</v>
      </c>
      <c r="J55" t="s">
        <v>4</v>
      </c>
      <c r="K55" t="s">
        <v>81</v>
      </c>
      <c r="L55" t="s">
        <v>82</v>
      </c>
      <c r="M55" s="8">
        <v>-10102.040000000001</v>
      </c>
      <c r="N55" t="s">
        <v>0</v>
      </c>
      <c r="O55" t="s">
        <v>7</v>
      </c>
      <c r="P55" t="s">
        <v>8</v>
      </c>
    </row>
    <row r="56" spans="1:16" ht="13.95" customHeight="1" x14ac:dyDescent="0.25">
      <c r="A56" s="2" t="s">
        <v>0</v>
      </c>
      <c r="B56" t="s">
        <v>1</v>
      </c>
      <c r="C56" s="3">
        <v>46276</v>
      </c>
      <c r="D56" t="s">
        <v>2</v>
      </c>
      <c r="E56" t="s">
        <v>0</v>
      </c>
      <c r="F56" s="5">
        <v>122545</v>
      </c>
      <c r="G56" s="5" t="str">
        <f>VLOOKUP(F56,'[1]46974159BCSET2026'!$F:$AE,26,0)</f>
        <v>Sim</v>
      </c>
      <c r="H56" t="s">
        <v>3</v>
      </c>
      <c r="I56" s="3">
        <v>46276</v>
      </c>
      <c r="J56" t="s">
        <v>4</v>
      </c>
      <c r="K56" t="s">
        <v>83</v>
      </c>
      <c r="L56" t="s">
        <v>84</v>
      </c>
      <c r="M56" s="8">
        <v>-9730.49</v>
      </c>
      <c r="N56" t="s">
        <v>0</v>
      </c>
      <c r="O56" t="s">
        <v>7</v>
      </c>
      <c r="P56" t="s">
        <v>8</v>
      </c>
    </row>
    <row r="57" spans="1:16" ht="13.95" customHeight="1" x14ac:dyDescent="0.25">
      <c r="A57" s="2" t="s">
        <v>0</v>
      </c>
      <c r="B57" t="s">
        <v>1</v>
      </c>
      <c r="C57" s="3">
        <v>46276</v>
      </c>
      <c r="D57" t="s">
        <v>2</v>
      </c>
      <c r="E57" t="s">
        <v>0</v>
      </c>
      <c r="F57" s="5">
        <v>122200</v>
      </c>
      <c r="G57" s="5" t="str">
        <f>VLOOKUP(F57,'[1]46974159BCSET2026'!$F:$AE,26,0)</f>
        <v>Sim</v>
      </c>
      <c r="H57" t="s">
        <v>3</v>
      </c>
      <c r="I57" s="3">
        <v>46276</v>
      </c>
      <c r="J57" t="s">
        <v>4</v>
      </c>
      <c r="K57" t="s">
        <v>75</v>
      </c>
      <c r="L57" t="s">
        <v>76</v>
      </c>
      <c r="M57" s="8">
        <v>-9410.2199999999993</v>
      </c>
      <c r="N57" t="s">
        <v>0</v>
      </c>
      <c r="O57" t="s">
        <v>7</v>
      </c>
      <c r="P57" t="s">
        <v>8</v>
      </c>
    </row>
    <row r="58" spans="1:16" ht="13.95" customHeight="1" x14ac:dyDescent="0.25">
      <c r="A58" s="2" t="s">
        <v>0</v>
      </c>
      <c r="B58" t="s">
        <v>1</v>
      </c>
      <c r="C58" s="3">
        <v>46276</v>
      </c>
      <c r="D58" t="s">
        <v>2</v>
      </c>
      <c r="E58" t="s">
        <v>0</v>
      </c>
      <c r="F58" s="5">
        <v>122525</v>
      </c>
      <c r="G58" s="5" t="str">
        <f>VLOOKUP(F58,'[1]46974159BCSET2026'!$F:$AE,26,0)</f>
        <v>Sim</v>
      </c>
      <c r="H58" t="s">
        <v>3</v>
      </c>
      <c r="I58" s="3">
        <v>46276</v>
      </c>
      <c r="J58" t="s">
        <v>4</v>
      </c>
      <c r="K58" t="s">
        <v>58</v>
      </c>
      <c r="L58" t="s">
        <v>59</v>
      </c>
      <c r="M58" s="8">
        <v>-9396.9699999999993</v>
      </c>
      <c r="N58" t="s">
        <v>0</v>
      </c>
      <c r="O58" t="s">
        <v>7</v>
      </c>
      <c r="P58" t="s">
        <v>8</v>
      </c>
    </row>
    <row r="59" spans="1:16" ht="13.95" customHeight="1" x14ac:dyDescent="0.25">
      <c r="A59" s="2" t="s">
        <v>0</v>
      </c>
      <c r="B59" t="s">
        <v>1</v>
      </c>
      <c r="C59" s="3">
        <v>46276</v>
      </c>
      <c r="D59" t="s">
        <v>2</v>
      </c>
      <c r="E59" t="s">
        <v>0</v>
      </c>
      <c r="F59" s="5">
        <v>122491</v>
      </c>
      <c r="G59" s="5" t="str">
        <f>VLOOKUP(F59,'[1]46974159BCSET2026'!$F:$AE,26,0)</f>
        <v>Sim</v>
      </c>
      <c r="H59" t="s">
        <v>3</v>
      </c>
      <c r="I59" s="3">
        <v>46276</v>
      </c>
      <c r="J59" t="s">
        <v>4</v>
      </c>
      <c r="K59" t="s">
        <v>85</v>
      </c>
      <c r="L59" t="s">
        <v>86</v>
      </c>
      <c r="M59" s="8">
        <v>-9306.1200000000008</v>
      </c>
      <c r="N59" t="s">
        <v>0</v>
      </c>
      <c r="O59" t="s">
        <v>7</v>
      </c>
      <c r="P59" t="s">
        <v>8</v>
      </c>
    </row>
    <row r="60" spans="1:16" ht="13.95" customHeight="1" x14ac:dyDescent="0.25">
      <c r="A60" s="2" t="s">
        <v>0</v>
      </c>
      <c r="B60" t="s">
        <v>1</v>
      </c>
      <c r="C60" s="3">
        <v>46276</v>
      </c>
      <c r="D60" t="s">
        <v>2</v>
      </c>
      <c r="E60" t="s">
        <v>0</v>
      </c>
      <c r="F60" s="5">
        <v>122571</v>
      </c>
      <c r="G60" s="5" t="str">
        <f>VLOOKUP(F60,'[1]46974159BCSET2026'!$F:$AE,26,0)</f>
        <v>Sim</v>
      </c>
      <c r="H60" t="s">
        <v>3</v>
      </c>
      <c r="I60" s="3">
        <v>46276</v>
      </c>
      <c r="J60" t="s">
        <v>4</v>
      </c>
      <c r="K60" t="s">
        <v>30</v>
      </c>
      <c r="L60" t="s">
        <v>31</v>
      </c>
      <c r="M60" s="8">
        <v>-8845.68</v>
      </c>
      <c r="N60" t="s">
        <v>0</v>
      </c>
      <c r="O60" t="s">
        <v>7</v>
      </c>
      <c r="P60" t="s">
        <v>8</v>
      </c>
    </row>
    <row r="61" spans="1:16" ht="13.95" customHeight="1" x14ac:dyDescent="0.25">
      <c r="A61" s="2" t="s">
        <v>0</v>
      </c>
      <c r="B61" t="s">
        <v>1</v>
      </c>
      <c r="C61" s="3">
        <v>46276</v>
      </c>
      <c r="D61" t="s">
        <v>2</v>
      </c>
      <c r="E61" t="s">
        <v>0</v>
      </c>
      <c r="F61" s="5">
        <v>122643</v>
      </c>
      <c r="G61" s="5" t="str">
        <f>VLOOKUP(F61,'[1]46974159BCSET2026'!$F:$AE,26,0)</f>
        <v>Sim</v>
      </c>
      <c r="H61" t="s">
        <v>3</v>
      </c>
      <c r="I61" s="3">
        <v>46276</v>
      </c>
      <c r="J61" t="s">
        <v>4</v>
      </c>
      <c r="K61" t="s">
        <v>26</v>
      </c>
      <c r="L61" t="s">
        <v>27</v>
      </c>
      <c r="M61" s="8">
        <v>-8839.8799999999992</v>
      </c>
      <c r="N61" t="s">
        <v>0</v>
      </c>
      <c r="O61" t="s">
        <v>7</v>
      </c>
      <c r="P61" t="s">
        <v>8</v>
      </c>
    </row>
    <row r="62" spans="1:16" ht="13.95" customHeight="1" x14ac:dyDescent="0.25">
      <c r="A62" s="2" t="s">
        <v>0</v>
      </c>
      <c r="B62" t="s">
        <v>1</v>
      </c>
      <c r="C62" s="3">
        <v>46276</v>
      </c>
      <c r="D62" t="s">
        <v>2</v>
      </c>
      <c r="E62" t="s">
        <v>0</v>
      </c>
      <c r="F62" s="5">
        <v>122253</v>
      </c>
      <c r="G62" s="5" t="str">
        <f>VLOOKUP(F62,'[1]46974159BCSET2026'!$F:$AE,26,0)</f>
        <v>Sim</v>
      </c>
      <c r="H62" t="s">
        <v>3</v>
      </c>
      <c r="I62" s="3">
        <v>46276</v>
      </c>
      <c r="J62" t="s">
        <v>4</v>
      </c>
      <c r="K62" t="s">
        <v>87</v>
      </c>
      <c r="L62" t="s">
        <v>88</v>
      </c>
      <c r="M62" s="8">
        <v>-8673.4699999999993</v>
      </c>
      <c r="N62" t="s">
        <v>0</v>
      </c>
      <c r="O62" t="s">
        <v>7</v>
      </c>
      <c r="P62" t="s">
        <v>8</v>
      </c>
    </row>
    <row r="63" spans="1:16" ht="13.95" customHeight="1" x14ac:dyDescent="0.25">
      <c r="A63" s="2" t="s">
        <v>0</v>
      </c>
      <c r="B63" t="s">
        <v>1</v>
      </c>
      <c r="C63" s="3">
        <v>46276</v>
      </c>
      <c r="D63" t="s">
        <v>2</v>
      </c>
      <c r="E63" t="s">
        <v>0</v>
      </c>
      <c r="F63" s="5">
        <v>122737</v>
      </c>
      <c r="G63" s="5" t="str">
        <f>VLOOKUP(F63,'[1]46974159BCSET2026'!$F:$AE,26,0)</f>
        <v>Sim</v>
      </c>
      <c r="H63" t="s">
        <v>3</v>
      </c>
      <c r="I63" s="3">
        <v>46276</v>
      </c>
      <c r="J63" t="s">
        <v>4</v>
      </c>
      <c r="K63" t="s">
        <v>89</v>
      </c>
      <c r="L63" t="s">
        <v>90</v>
      </c>
      <c r="M63" s="8">
        <v>-8672.44</v>
      </c>
      <c r="N63" t="s">
        <v>0</v>
      </c>
      <c r="O63" t="s">
        <v>7</v>
      </c>
      <c r="P63" t="s">
        <v>8</v>
      </c>
    </row>
    <row r="64" spans="1:16" ht="13.95" customHeight="1" x14ac:dyDescent="0.25">
      <c r="A64" s="2" t="s">
        <v>0</v>
      </c>
      <c r="B64" t="s">
        <v>1</v>
      </c>
      <c r="C64" s="3">
        <v>46276</v>
      </c>
      <c r="D64" t="s">
        <v>2</v>
      </c>
      <c r="E64" t="s">
        <v>0</v>
      </c>
      <c r="F64" s="5">
        <v>122638</v>
      </c>
      <c r="G64" s="5" t="str">
        <f>VLOOKUP(F64,'[1]46974159BCSET2026'!$F:$AE,26,0)</f>
        <v>Sim</v>
      </c>
      <c r="H64" t="s">
        <v>3</v>
      </c>
      <c r="I64" s="3">
        <v>46276</v>
      </c>
      <c r="J64" t="s">
        <v>4</v>
      </c>
      <c r="K64" t="s">
        <v>91</v>
      </c>
      <c r="L64" t="s">
        <v>92</v>
      </c>
      <c r="M64" s="8">
        <v>-8646.94</v>
      </c>
      <c r="N64" t="s">
        <v>0</v>
      </c>
      <c r="O64" t="s">
        <v>7</v>
      </c>
      <c r="P64" t="s">
        <v>8</v>
      </c>
    </row>
    <row r="65" spans="1:16" ht="13.95" customHeight="1" x14ac:dyDescent="0.25">
      <c r="A65" s="2" t="s">
        <v>0</v>
      </c>
      <c r="B65" t="s">
        <v>1</v>
      </c>
      <c r="C65" s="3">
        <v>46276</v>
      </c>
      <c r="D65" t="s">
        <v>2</v>
      </c>
      <c r="E65" t="s">
        <v>0</v>
      </c>
      <c r="F65" s="5">
        <v>122639</v>
      </c>
      <c r="G65" s="5" t="str">
        <f>VLOOKUP(F65,'[1]46974159BCSET2026'!$F:$AE,26,0)</f>
        <v>Sim</v>
      </c>
      <c r="H65" t="s">
        <v>3</v>
      </c>
      <c r="I65" s="3">
        <v>46276</v>
      </c>
      <c r="J65" t="s">
        <v>4</v>
      </c>
      <c r="K65" t="s">
        <v>93</v>
      </c>
      <c r="L65" t="s">
        <v>94</v>
      </c>
      <c r="M65" s="8">
        <v>-8489.51</v>
      </c>
      <c r="N65" t="s">
        <v>0</v>
      </c>
      <c r="O65" t="s">
        <v>7</v>
      </c>
      <c r="P65" t="s">
        <v>8</v>
      </c>
    </row>
    <row r="66" spans="1:16" ht="13.95" customHeight="1" x14ac:dyDescent="0.25">
      <c r="A66" s="2" t="s">
        <v>0</v>
      </c>
      <c r="B66" t="s">
        <v>1</v>
      </c>
      <c r="C66" s="3">
        <v>46276</v>
      </c>
      <c r="D66" t="s">
        <v>2</v>
      </c>
      <c r="E66" t="s">
        <v>0</v>
      </c>
      <c r="F66" s="5">
        <v>122224</v>
      </c>
      <c r="G66" s="5" t="str">
        <f>VLOOKUP(F66,'[1]46974159BCSET2026'!$F:$AE,26,0)</f>
        <v>Sim</v>
      </c>
      <c r="H66" t="s">
        <v>3</v>
      </c>
      <c r="I66" s="3">
        <v>46276</v>
      </c>
      <c r="J66" t="s">
        <v>4</v>
      </c>
      <c r="K66" t="s">
        <v>22</v>
      </c>
      <c r="L66" t="s">
        <v>23</v>
      </c>
      <c r="M66" s="8">
        <v>-8194.2900000000009</v>
      </c>
      <c r="N66" t="s">
        <v>0</v>
      </c>
      <c r="O66" t="s">
        <v>7</v>
      </c>
      <c r="P66" t="s">
        <v>8</v>
      </c>
    </row>
    <row r="67" spans="1:16" ht="13.95" customHeight="1" x14ac:dyDescent="0.25">
      <c r="A67" s="2" t="s">
        <v>0</v>
      </c>
      <c r="B67" t="s">
        <v>1</v>
      </c>
      <c r="C67" s="3">
        <v>46276</v>
      </c>
      <c r="D67" t="s">
        <v>2</v>
      </c>
      <c r="E67" t="s">
        <v>0</v>
      </c>
      <c r="F67" s="5">
        <v>122199</v>
      </c>
      <c r="G67" s="5" t="str">
        <f>VLOOKUP(F67,'[1]46974159BCSET2026'!$F:$AE,26,0)</f>
        <v>Sim</v>
      </c>
      <c r="H67" t="s">
        <v>3</v>
      </c>
      <c r="I67" s="3">
        <v>46276</v>
      </c>
      <c r="J67" t="s">
        <v>4</v>
      </c>
      <c r="K67" t="s">
        <v>95</v>
      </c>
      <c r="L67" t="s">
        <v>96</v>
      </c>
      <c r="M67" s="8">
        <v>-7956.18</v>
      </c>
      <c r="N67" t="s">
        <v>0</v>
      </c>
      <c r="O67" t="s">
        <v>7</v>
      </c>
      <c r="P67" t="s">
        <v>8</v>
      </c>
    </row>
    <row r="68" spans="1:16" ht="13.95" customHeight="1" x14ac:dyDescent="0.25">
      <c r="A68" s="2" t="s">
        <v>0</v>
      </c>
      <c r="B68" t="s">
        <v>1</v>
      </c>
      <c r="C68" s="3">
        <v>46276</v>
      </c>
      <c r="D68" t="s">
        <v>2</v>
      </c>
      <c r="E68" t="s">
        <v>0</v>
      </c>
      <c r="F68" s="5">
        <v>122526</v>
      </c>
      <c r="G68" s="5" t="str">
        <f>VLOOKUP(F68,'[1]46974159BCSET2026'!$F:$AE,26,0)</f>
        <v>Sim</v>
      </c>
      <c r="H68" t="s">
        <v>3</v>
      </c>
      <c r="I68" s="3">
        <v>46276</v>
      </c>
      <c r="J68" t="s">
        <v>4</v>
      </c>
      <c r="K68" t="s">
        <v>97</v>
      </c>
      <c r="L68" t="s">
        <v>98</v>
      </c>
      <c r="M68" s="8">
        <v>-7909.36</v>
      </c>
      <c r="N68" t="s">
        <v>0</v>
      </c>
      <c r="O68" t="s">
        <v>7</v>
      </c>
      <c r="P68" t="s">
        <v>8</v>
      </c>
    </row>
    <row r="69" spans="1:16" ht="13.95" customHeight="1" x14ac:dyDescent="0.25">
      <c r="A69" s="2" t="s">
        <v>0</v>
      </c>
      <c r="B69" t="s">
        <v>1</v>
      </c>
      <c r="C69" s="3">
        <v>46276</v>
      </c>
      <c r="D69" t="s">
        <v>2</v>
      </c>
      <c r="E69" t="s">
        <v>0</v>
      </c>
      <c r="F69" s="5">
        <v>122218</v>
      </c>
      <c r="G69" s="5" t="str">
        <f>VLOOKUP(F69,'[1]46974159BCSET2026'!$F:$AE,26,0)</f>
        <v>Sim</v>
      </c>
      <c r="H69" t="s">
        <v>3</v>
      </c>
      <c r="I69" s="3">
        <v>46276</v>
      </c>
      <c r="J69" t="s">
        <v>4</v>
      </c>
      <c r="K69" t="s">
        <v>32</v>
      </c>
      <c r="L69" t="s">
        <v>33</v>
      </c>
      <c r="M69" s="8">
        <v>-7850.87</v>
      </c>
      <c r="N69" t="s">
        <v>0</v>
      </c>
      <c r="O69" t="s">
        <v>7</v>
      </c>
      <c r="P69" t="s">
        <v>8</v>
      </c>
    </row>
    <row r="70" spans="1:16" ht="13.95" customHeight="1" x14ac:dyDescent="0.25">
      <c r="A70" s="2" t="s">
        <v>0</v>
      </c>
      <c r="B70" t="s">
        <v>1</v>
      </c>
      <c r="C70" s="3">
        <v>46276</v>
      </c>
      <c r="D70" t="s">
        <v>2</v>
      </c>
      <c r="E70" t="s">
        <v>0</v>
      </c>
      <c r="F70" s="5">
        <v>122498</v>
      </c>
      <c r="G70" s="5" t="str">
        <f>VLOOKUP(F70,'[1]46974159BCSET2026'!$F:$AE,26,0)</f>
        <v>Sim</v>
      </c>
      <c r="H70" t="s">
        <v>3</v>
      </c>
      <c r="I70" s="3">
        <v>46276</v>
      </c>
      <c r="J70" t="s">
        <v>4</v>
      </c>
      <c r="K70" t="s">
        <v>99</v>
      </c>
      <c r="L70" t="s">
        <v>100</v>
      </c>
      <c r="M70" s="8">
        <v>-7756.17</v>
      </c>
      <c r="N70" t="s">
        <v>0</v>
      </c>
      <c r="O70" t="s">
        <v>7</v>
      </c>
      <c r="P70" t="s">
        <v>8</v>
      </c>
    </row>
    <row r="71" spans="1:16" ht="13.95" customHeight="1" x14ac:dyDescent="0.25">
      <c r="A71" s="2" t="s">
        <v>0</v>
      </c>
      <c r="B71" t="s">
        <v>1</v>
      </c>
      <c r="C71" s="3">
        <v>46276</v>
      </c>
      <c r="D71" t="s">
        <v>2</v>
      </c>
      <c r="E71" t="s">
        <v>0</v>
      </c>
      <c r="F71" s="5">
        <v>122275</v>
      </c>
      <c r="G71" s="5" t="str">
        <f>VLOOKUP(F71,'[1]46974159BCSET2026'!$F:$AE,26,0)</f>
        <v>Sim</v>
      </c>
      <c r="H71" t="s">
        <v>3</v>
      </c>
      <c r="I71" s="3">
        <v>46276</v>
      </c>
      <c r="J71" t="s">
        <v>4</v>
      </c>
      <c r="K71" t="s">
        <v>5</v>
      </c>
      <c r="L71" t="s">
        <v>6</v>
      </c>
      <c r="M71" s="8">
        <v>-7754.08</v>
      </c>
      <c r="N71" t="s">
        <v>0</v>
      </c>
      <c r="O71" t="s">
        <v>7</v>
      </c>
      <c r="P71" t="s">
        <v>8</v>
      </c>
    </row>
    <row r="72" spans="1:16" ht="13.95" customHeight="1" x14ac:dyDescent="0.25">
      <c r="A72" s="2" t="s">
        <v>0</v>
      </c>
      <c r="B72" t="s">
        <v>1</v>
      </c>
      <c r="C72" s="3">
        <v>46276</v>
      </c>
      <c r="D72" t="s">
        <v>2</v>
      </c>
      <c r="E72" t="s">
        <v>0</v>
      </c>
      <c r="F72" s="5">
        <v>122383</v>
      </c>
      <c r="G72" s="5" t="str">
        <f>VLOOKUP(F72,'[1]46974159BCSET2026'!$F:$AE,26,0)</f>
        <v>Sim</v>
      </c>
      <c r="H72" t="s">
        <v>3</v>
      </c>
      <c r="I72" s="3">
        <v>46276</v>
      </c>
      <c r="J72" t="s">
        <v>4</v>
      </c>
      <c r="K72" t="s">
        <v>101</v>
      </c>
      <c r="L72" t="s">
        <v>102</v>
      </c>
      <c r="M72" s="8">
        <v>-7744.9</v>
      </c>
      <c r="N72" t="s">
        <v>0</v>
      </c>
      <c r="O72" t="s">
        <v>7</v>
      </c>
      <c r="P72" t="s">
        <v>8</v>
      </c>
    </row>
    <row r="73" spans="1:16" ht="13.95" customHeight="1" x14ac:dyDescent="0.25">
      <c r="A73" s="2" t="s">
        <v>0</v>
      </c>
      <c r="B73" t="s">
        <v>1</v>
      </c>
      <c r="C73" s="3">
        <v>46276</v>
      </c>
      <c r="D73" t="s">
        <v>2</v>
      </c>
      <c r="E73" t="s">
        <v>0</v>
      </c>
      <c r="F73" s="5">
        <v>122493</v>
      </c>
      <c r="G73" s="5" t="str">
        <f>VLOOKUP(F73,'[1]46974159BCSET2026'!$F:$AE,26,0)</f>
        <v>Sim</v>
      </c>
      <c r="H73" t="s">
        <v>3</v>
      </c>
      <c r="I73" s="3">
        <v>46276</v>
      </c>
      <c r="J73" t="s">
        <v>4</v>
      </c>
      <c r="K73" t="s">
        <v>103</v>
      </c>
      <c r="L73" t="s">
        <v>104</v>
      </c>
      <c r="M73" s="8">
        <v>-7346.94</v>
      </c>
      <c r="N73" t="s">
        <v>0</v>
      </c>
      <c r="O73" t="s">
        <v>7</v>
      </c>
      <c r="P73" t="s">
        <v>8</v>
      </c>
    </row>
    <row r="74" spans="1:16" ht="13.95" customHeight="1" x14ac:dyDescent="0.25">
      <c r="A74" s="2" t="s">
        <v>0</v>
      </c>
      <c r="B74" t="s">
        <v>1</v>
      </c>
      <c r="C74" s="3">
        <v>46276</v>
      </c>
      <c r="D74" t="s">
        <v>2</v>
      </c>
      <c r="E74" t="s">
        <v>0</v>
      </c>
      <c r="F74" s="5">
        <v>122474</v>
      </c>
      <c r="G74" s="5" t="str">
        <f>VLOOKUP(F74,'[1]46974159BCSET2026'!$F:$AE,26,0)</f>
        <v>Sim</v>
      </c>
      <c r="H74" t="s">
        <v>3</v>
      </c>
      <c r="I74" s="3">
        <v>46276</v>
      </c>
      <c r="J74" t="s">
        <v>4</v>
      </c>
      <c r="K74" t="s">
        <v>105</v>
      </c>
      <c r="L74" t="s">
        <v>106</v>
      </c>
      <c r="M74" s="8">
        <v>-7142.86</v>
      </c>
      <c r="N74" t="s">
        <v>0</v>
      </c>
      <c r="O74" t="s">
        <v>7</v>
      </c>
      <c r="P74" t="s">
        <v>8</v>
      </c>
    </row>
    <row r="75" spans="1:16" ht="13.95" customHeight="1" x14ac:dyDescent="0.25">
      <c r="A75" s="2" t="s">
        <v>0</v>
      </c>
      <c r="B75" t="s">
        <v>1</v>
      </c>
      <c r="C75" s="3">
        <v>46276</v>
      </c>
      <c r="D75" t="s">
        <v>2</v>
      </c>
      <c r="E75" t="s">
        <v>0</v>
      </c>
      <c r="F75" s="5">
        <v>122766</v>
      </c>
      <c r="G75" s="5" t="str">
        <f>VLOOKUP(F75,'[1]46974159BCSET2026'!$F:$AE,26,0)</f>
        <v>Sim</v>
      </c>
      <c r="H75" t="s">
        <v>3</v>
      </c>
      <c r="I75" s="3">
        <v>46276</v>
      </c>
      <c r="J75" t="s">
        <v>4</v>
      </c>
      <c r="K75" t="s">
        <v>107</v>
      </c>
      <c r="L75" t="s">
        <v>108</v>
      </c>
      <c r="M75" s="8">
        <v>-7036.11</v>
      </c>
      <c r="N75" t="s">
        <v>0</v>
      </c>
      <c r="O75" t="s">
        <v>7</v>
      </c>
      <c r="P75" t="s">
        <v>8</v>
      </c>
    </row>
    <row r="76" spans="1:16" ht="13.95" customHeight="1" x14ac:dyDescent="0.25">
      <c r="A76" s="2" t="s">
        <v>0</v>
      </c>
      <c r="B76" t="s">
        <v>1</v>
      </c>
      <c r="C76" s="3">
        <v>46276</v>
      </c>
      <c r="D76" t="s">
        <v>2</v>
      </c>
      <c r="E76" t="s">
        <v>0</v>
      </c>
      <c r="F76" s="5">
        <v>122530</v>
      </c>
      <c r="G76" s="5" t="str">
        <f>VLOOKUP(F76,'[1]46974159BCSET2026'!$F:$AE,26,0)</f>
        <v>Sim</v>
      </c>
      <c r="H76" t="s">
        <v>3</v>
      </c>
      <c r="I76" s="3">
        <v>46276</v>
      </c>
      <c r="J76" t="s">
        <v>4</v>
      </c>
      <c r="K76" t="s">
        <v>109</v>
      </c>
      <c r="L76" t="s">
        <v>110</v>
      </c>
      <c r="M76" s="8">
        <v>-7027.62</v>
      </c>
      <c r="N76" t="s">
        <v>0</v>
      </c>
      <c r="O76" t="s">
        <v>7</v>
      </c>
      <c r="P76" t="s">
        <v>8</v>
      </c>
    </row>
    <row r="77" spans="1:16" ht="13.95" customHeight="1" x14ac:dyDescent="0.25">
      <c r="A77" s="2" t="s">
        <v>0</v>
      </c>
      <c r="B77" t="s">
        <v>1</v>
      </c>
      <c r="C77" s="3">
        <v>46276</v>
      </c>
      <c r="D77" t="s">
        <v>2</v>
      </c>
      <c r="E77" t="s">
        <v>0</v>
      </c>
      <c r="F77" s="5">
        <v>122445</v>
      </c>
      <c r="G77" s="5" t="str">
        <f>VLOOKUP(F77,'[1]46974159BCSET2026'!$F:$AE,26,0)</f>
        <v>Sim</v>
      </c>
      <c r="H77" t="s">
        <v>3</v>
      </c>
      <c r="I77" s="3">
        <v>46276</v>
      </c>
      <c r="J77" t="s">
        <v>4</v>
      </c>
      <c r="K77" t="s">
        <v>111</v>
      </c>
      <c r="L77" t="s">
        <v>112</v>
      </c>
      <c r="M77" s="8">
        <v>-6920.51</v>
      </c>
      <c r="N77" t="s">
        <v>0</v>
      </c>
      <c r="O77" t="s">
        <v>7</v>
      </c>
      <c r="P77" t="s">
        <v>8</v>
      </c>
    </row>
    <row r="78" spans="1:16" ht="13.95" customHeight="1" x14ac:dyDescent="0.25">
      <c r="A78" s="2" t="s">
        <v>0</v>
      </c>
      <c r="B78" t="s">
        <v>1</v>
      </c>
      <c r="C78" s="3">
        <v>46276</v>
      </c>
      <c r="D78" t="s">
        <v>2</v>
      </c>
      <c r="E78" t="s">
        <v>0</v>
      </c>
      <c r="F78" s="5">
        <v>122231</v>
      </c>
      <c r="G78" s="5" t="str">
        <f>VLOOKUP(F78,'[1]46974159BCSET2026'!$F:$AE,26,0)</f>
        <v>Sim</v>
      </c>
      <c r="H78" t="s">
        <v>3</v>
      </c>
      <c r="I78" s="3">
        <v>46276</v>
      </c>
      <c r="J78" t="s">
        <v>4</v>
      </c>
      <c r="K78" t="s">
        <v>113</v>
      </c>
      <c r="L78" t="s">
        <v>114</v>
      </c>
      <c r="M78" s="8">
        <v>-6836.74</v>
      </c>
      <c r="N78" t="s">
        <v>0</v>
      </c>
      <c r="O78" t="s">
        <v>7</v>
      </c>
      <c r="P78" t="s">
        <v>8</v>
      </c>
    </row>
    <row r="79" spans="1:16" ht="13.95" customHeight="1" x14ac:dyDescent="0.25">
      <c r="A79" s="2" t="s">
        <v>0</v>
      </c>
      <c r="B79" t="s">
        <v>1</v>
      </c>
      <c r="C79" s="3">
        <v>46276</v>
      </c>
      <c r="D79" t="s">
        <v>2</v>
      </c>
      <c r="E79" t="s">
        <v>0</v>
      </c>
      <c r="F79" s="5">
        <v>122423</v>
      </c>
      <c r="G79" s="5" t="str">
        <f>VLOOKUP(F79,'[1]46974159BCSET2026'!$F:$AE,26,0)</f>
        <v>Sim</v>
      </c>
      <c r="H79" t="s">
        <v>3</v>
      </c>
      <c r="I79" s="3">
        <v>46276</v>
      </c>
      <c r="J79" t="s">
        <v>4</v>
      </c>
      <c r="K79" t="s">
        <v>115</v>
      </c>
      <c r="L79" t="s">
        <v>116</v>
      </c>
      <c r="M79" s="8">
        <v>-6836.74</v>
      </c>
      <c r="N79" t="s">
        <v>0</v>
      </c>
      <c r="O79" t="s">
        <v>7</v>
      </c>
      <c r="P79" t="s">
        <v>8</v>
      </c>
    </row>
    <row r="80" spans="1:16" ht="13.95" customHeight="1" x14ac:dyDescent="0.25">
      <c r="A80" s="2" t="s">
        <v>0</v>
      </c>
      <c r="B80" t="s">
        <v>1</v>
      </c>
      <c r="C80" s="3">
        <v>46276</v>
      </c>
      <c r="D80" t="s">
        <v>2</v>
      </c>
      <c r="E80" t="s">
        <v>0</v>
      </c>
      <c r="F80" s="5">
        <v>122641</v>
      </c>
      <c r="G80" s="5" t="str">
        <f>VLOOKUP(F80,'[1]46974159BCSET2026'!$F:$AE,26,0)</f>
        <v>Sim</v>
      </c>
      <c r="H80" t="s">
        <v>3</v>
      </c>
      <c r="I80" s="3">
        <v>46276</v>
      </c>
      <c r="J80" t="s">
        <v>4</v>
      </c>
      <c r="K80" t="s">
        <v>40</v>
      </c>
      <c r="L80" t="s">
        <v>41</v>
      </c>
      <c r="M80" s="8">
        <v>-6755.57</v>
      </c>
      <c r="N80" t="s">
        <v>0</v>
      </c>
      <c r="O80" t="s">
        <v>7</v>
      </c>
      <c r="P80" t="s">
        <v>8</v>
      </c>
    </row>
    <row r="81" spans="1:16" ht="13.95" customHeight="1" x14ac:dyDescent="0.25">
      <c r="A81" s="2" t="s">
        <v>0</v>
      </c>
      <c r="B81" t="s">
        <v>1</v>
      </c>
      <c r="C81" s="3">
        <v>46276</v>
      </c>
      <c r="D81" t="s">
        <v>2</v>
      </c>
      <c r="E81" t="s">
        <v>0</v>
      </c>
      <c r="F81" s="5">
        <v>122649</v>
      </c>
      <c r="G81" s="5" t="str">
        <f>VLOOKUP(F81,'[1]46974159BCSET2026'!$F:$AE,26,0)</f>
        <v>Sim</v>
      </c>
      <c r="H81" t="s">
        <v>3</v>
      </c>
      <c r="I81" s="3">
        <v>46276</v>
      </c>
      <c r="J81" t="s">
        <v>4</v>
      </c>
      <c r="K81" t="s">
        <v>117</v>
      </c>
      <c r="L81" t="s">
        <v>118</v>
      </c>
      <c r="M81" s="8">
        <v>-6697.2</v>
      </c>
      <c r="N81" t="s">
        <v>0</v>
      </c>
      <c r="O81" t="s">
        <v>7</v>
      </c>
      <c r="P81" t="s">
        <v>8</v>
      </c>
    </row>
    <row r="82" spans="1:16" ht="13.95" customHeight="1" x14ac:dyDescent="0.25">
      <c r="A82" s="2" t="s">
        <v>0</v>
      </c>
      <c r="B82" t="s">
        <v>1</v>
      </c>
      <c r="C82" s="3">
        <v>46276</v>
      </c>
      <c r="D82" t="s">
        <v>2</v>
      </c>
      <c r="E82" t="s">
        <v>0</v>
      </c>
      <c r="F82" s="5">
        <v>122696</v>
      </c>
      <c r="G82" s="5" t="str">
        <f>VLOOKUP(F82,'[1]46974159BCSET2026'!$F:$AE,26,0)</f>
        <v>Sim</v>
      </c>
      <c r="H82" t="s">
        <v>3</v>
      </c>
      <c r="I82" s="3">
        <v>46276</v>
      </c>
      <c r="J82" t="s">
        <v>4</v>
      </c>
      <c r="K82" t="s">
        <v>36</v>
      </c>
      <c r="L82" t="s">
        <v>37</v>
      </c>
      <c r="M82" s="8">
        <v>-6610.79</v>
      </c>
      <c r="N82" t="s">
        <v>0</v>
      </c>
      <c r="O82" t="s">
        <v>7</v>
      </c>
      <c r="P82" t="s">
        <v>8</v>
      </c>
    </row>
    <row r="83" spans="1:16" ht="13.95" customHeight="1" x14ac:dyDescent="0.25">
      <c r="A83" s="2" t="s">
        <v>0</v>
      </c>
      <c r="B83" t="s">
        <v>1</v>
      </c>
      <c r="C83" s="3">
        <v>46276</v>
      </c>
      <c r="D83" t="s">
        <v>2</v>
      </c>
      <c r="E83" t="s">
        <v>0</v>
      </c>
      <c r="F83" s="5">
        <v>122773</v>
      </c>
      <c r="G83" s="5" t="str">
        <f>VLOOKUP(F83,'[1]46974159BCSET2026'!$F:$AE,26,0)</f>
        <v>Sim</v>
      </c>
      <c r="H83" t="s">
        <v>3</v>
      </c>
      <c r="I83" s="3">
        <v>46276</v>
      </c>
      <c r="J83" t="s">
        <v>4</v>
      </c>
      <c r="K83" t="s">
        <v>119</v>
      </c>
      <c r="L83" t="s">
        <v>120</v>
      </c>
      <c r="M83" s="8">
        <v>-6349.39</v>
      </c>
      <c r="N83" t="s">
        <v>0</v>
      </c>
      <c r="O83" t="s">
        <v>7</v>
      </c>
      <c r="P83" t="s">
        <v>8</v>
      </c>
    </row>
    <row r="84" spans="1:16" ht="13.95" customHeight="1" x14ac:dyDescent="0.25">
      <c r="A84" s="2" t="s">
        <v>0</v>
      </c>
      <c r="B84" t="s">
        <v>1</v>
      </c>
      <c r="C84" s="3">
        <v>46276</v>
      </c>
      <c r="D84" t="s">
        <v>2</v>
      </c>
      <c r="E84" t="s">
        <v>0</v>
      </c>
      <c r="F84" s="5">
        <v>122658</v>
      </c>
      <c r="G84" s="5" t="str">
        <f>VLOOKUP(F84,'[1]46974159BCSET2026'!$F:$AE,26,0)</f>
        <v>Sim</v>
      </c>
      <c r="H84" t="s">
        <v>3</v>
      </c>
      <c r="I84" s="3">
        <v>46276</v>
      </c>
      <c r="J84" t="s">
        <v>4</v>
      </c>
      <c r="K84" t="s">
        <v>121</v>
      </c>
      <c r="L84" t="s">
        <v>122</v>
      </c>
      <c r="M84" s="8">
        <v>-6026.26</v>
      </c>
      <c r="N84" t="s">
        <v>0</v>
      </c>
      <c r="O84" t="s">
        <v>7</v>
      </c>
      <c r="P84" t="s">
        <v>8</v>
      </c>
    </row>
    <row r="85" spans="1:16" ht="13.95" customHeight="1" x14ac:dyDescent="0.25">
      <c r="A85" s="2" t="s">
        <v>0</v>
      </c>
      <c r="B85" t="s">
        <v>1</v>
      </c>
      <c r="C85" s="3">
        <v>46276</v>
      </c>
      <c r="D85" t="s">
        <v>2</v>
      </c>
      <c r="E85" t="s">
        <v>0</v>
      </c>
      <c r="F85" s="5">
        <v>122261</v>
      </c>
      <c r="G85" s="5" t="str">
        <f>VLOOKUP(F85,'[1]46974159BCSET2026'!$F:$AE,26,0)</f>
        <v>Sim</v>
      </c>
      <c r="H85" t="s">
        <v>3</v>
      </c>
      <c r="I85" s="3">
        <v>46276</v>
      </c>
      <c r="J85" t="s">
        <v>4</v>
      </c>
      <c r="K85" t="s">
        <v>52</v>
      </c>
      <c r="L85" t="s">
        <v>53</v>
      </c>
      <c r="M85" s="8">
        <v>-5987.38</v>
      </c>
      <c r="N85" t="s">
        <v>0</v>
      </c>
      <c r="O85" t="s">
        <v>7</v>
      </c>
      <c r="P85" t="s">
        <v>8</v>
      </c>
    </row>
    <row r="86" spans="1:16" ht="13.95" customHeight="1" x14ac:dyDescent="0.25">
      <c r="A86" s="2" t="s">
        <v>0</v>
      </c>
      <c r="B86" t="s">
        <v>1</v>
      </c>
      <c r="C86" s="3">
        <v>46276</v>
      </c>
      <c r="D86" t="s">
        <v>2</v>
      </c>
      <c r="E86" t="s">
        <v>0</v>
      </c>
      <c r="F86" s="5">
        <v>122634</v>
      </c>
      <c r="G86" s="5" t="str">
        <f>VLOOKUP(F86,'[1]46974159BCSET2026'!$F:$AE,26,0)</f>
        <v>Sim</v>
      </c>
      <c r="H86" t="s">
        <v>3</v>
      </c>
      <c r="I86" s="3">
        <v>46276</v>
      </c>
      <c r="J86" t="s">
        <v>4</v>
      </c>
      <c r="K86" t="s">
        <v>28</v>
      </c>
      <c r="L86" t="s">
        <v>29</v>
      </c>
      <c r="M86" s="8">
        <v>-5969.19</v>
      </c>
      <c r="N86" t="s">
        <v>0</v>
      </c>
      <c r="O86" t="s">
        <v>7</v>
      </c>
      <c r="P86" t="s">
        <v>8</v>
      </c>
    </row>
    <row r="87" spans="1:16" ht="13.95" customHeight="1" x14ac:dyDescent="0.25">
      <c r="A87" s="2" t="s">
        <v>0</v>
      </c>
      <c r="B87" t="s">
        <v>1</v>
      </c>
      <c r="C87" s="3">
        <v>46276</v>
      </c>
      <c r="D87" t="s">
        <v>2</v>
      </c>
      <c r="E87" t="s">
        <v>0</v>
      </c>
      <c r="F87" s="5">
        <v>122265</v>
      </c>
      <c r="G87" s="5" t="str">
        <f>VLOOKUP(F87,'[1]46974159BCSET2026'!$F:$AE,26,0)</f>
        <v>Sim</v>
      </c>
      <c r="H87" t="s">
        <v>3</v>
      </c>
      <c r="I87" s="3">
        <v>46276</v>
      </c>
      <c r="J87" t="s">
        <v>4</v>
      </c>
      <c r="K87" t="s">
        <v>123</v>
      </c>
      <c r="L87" t="s">
        <v>124</v>
      </c>
      <c r="M87" s="8">
        <v>-5945.51</v>
      </c>
      <c r="N87" t="s">
        <v>0</v>
      </c>
      <c r="O87" t="s">
        <v>7</v>
      </c>
      <c r="P87" t="s">
        <v>8</v>
      </c>
    </row>
    <row r="88" spans="1:16" ht="13.95" customHeight="1" x14ac:dyDescent="0.25">
      <c r="A88" s="2" t="s">
        <v>0</v>
      </c>
      <c r="B88" t="s">
        <v>1</v>
      </c>
      <c r="C88" s="3">
        <v>46276</v>
      </c>
      <c r="D88" t="s">
        <v>2</v>
      </c>
      <c r="E88" t="s">
        <v>0</v>
      </c>
      <c r="F88" s="5">
        <v>122192</v>
      </c>
      <c r="G88" s="5" t="str">
        <f>VLOOKUP(F88,'[1]46974159BCSET2026'!$F:$AE,26,0)</f>
        <v>Sim</v>
      </c>
      <c r="H88" t="s">
        <v>3</v>
      </c>
      <c r="I88" s="3">
        <v>46276</v>
      </c>
      <c r="J88" t="s">
        <v>4</v>
      </c>
      <c r="K88" t="s">
        <v>125</v>
      </c>
      <c r="L88" t="s">
        <v>126</v>
      </c>
      <c r="M88" s="8">
        <v>-5929.57</v>
      </c>
      <c r="N88" t="s">
        <v>0</v>
      </c>
      <c r="O88" t="s">
        <v>7</v>
      </c>
      <c r="P88" t="s">
        <v>8</v>
      </c>
    </row>
    <row r="89" spans="1:16" ht="13.95" customHeight="1" x14ac:dyDescent="0.25">
      <c r="A89" s="2" t="s">
        <v>0</v>
      </c>
      <c r="B89" t="s">
        <v>1</v>
      </c>
      <c r="C89" s="3">
        <v>46276</v>
      </c>
      <c r="D89" t="s">
        <v>2</v>
      </c>
      <c r="E89" t="s">
        <v>0</v>
      </c>
      <c r="F89" s="5">
        <v>122545</v>
      </c>
      <c r="G89" s="5" t="str">
        <f>VLOOKUP(F89,'[1]46974159BCSET2026'!$F:$AE,26,0)</f>
        <v>Sim</v>
      </c>
      <c r="H89" t="s">
        <v>3</v>
      </c>
      <c r="I89" s="3">
        <v>46276</v>
      </c>
      <c r="J89" t="s">
        <v>4</v>
      </c>
      <c r="K89" t="s">
        <v>83</v>
      </c>
      <c r="L89" t="s">
        <v>84</v>
      </c>
      <c r="M89" s="8">
        <v>-5836.99</v>
      </c>
      <c r="N89" t="s">
        <v>0</v>
      </c>
      <c r="O89" t="s">
        <v>7</v>
      </c>
      <c r="P89" t="s">
        <v>8</v>
      </c>
    </row>
    <row r="90" spans="1:16" ht="13.95" customHeight="1" x14ac:dyDescent="0.25">
      <c r="A90" s="2" t="s">
        <v>0</v>
      </c>
      <c r="B90" t="s">
        <v>1</v>
      </c>
      <c r="C90" s="3">
        <v>46276</v>
      </c>
      <c r="D90" t="s">
        <v>2</v>
      </c>
      <c r="E90" t="s">
        <v>0</v>
      </c>
      <c r="F90" s="5">
        <v>122193</v>
      </c>
      <c r="G90" s="5" t="str">
        <f>VLOOKUP(F90,'[1]46974159BCSET2026'!$F:$AE,26,0)</f>
        <v>Sim</v>
      </c>
      <c r="H90" t="s">
        <v>3</v>
      </c>
      <c r="I90" s="3">
        <v>46276</v>
      </c>
      <c r="J90" t="s">
        <v>4</v>
      </c>
      <c r="K90" t="s">
        <v>127</v>
      </c>
      <c r="L90" t="s">
        <v>128</v>
      </c>
      <c r="M90" s="8">
        <v>-5804.93</v>
      </c>
      <c r="N90" t="s">
        <v>0</v>
      </c>
      <c r="O90" t="s">
        <v>7</v>
      </c>
      <c r="P90" t="s">
        <v>8</v>
      </c>
    </row>
    <row r="91" spans="1:16" ht="13.95" customHeight="1" x14ac:dyDescent="0.25">
      <c r="A91" s="2" t="s">
        <v>0</v>
      </c>
      <c r="B91" t="s">
        <v>1</v>
      </c>
      <c r="C91" s="3">
        <v>46276</v>
      </c>
      <c r="D91" t="s">
        <v>2</v>
      </c>
      <c r="E91" t="s">
        <v>0</v>
      </c>
      <c r="F91" s="5">
        <v>122516</v>
      </c>
      <c r="G91" s="5" t="str">
        <f>VLOOKUP(F91,'[1]46974159BCSET2026'!$F:$AE,26,0)</f>
        <v>Sim</v>
      </c>
      <c r="H91" t="s">
        <v>3</v>
      </c>
      <c r="I91" s="3">
        <v>46276</v>
      </c>
      <c r="J91" t="s">
        <v>4</v>
      </c>
      <c r="K91" t="s">
        <v>73</v>
      </c>
      <c r="L91" t="s">
        <v>74</v>
      </c>
      <c r="M91" s="8">
        <v>-5779.06</v>
      </c>
      <c r="N91" t="s">
        <v>0</v>
      </c>
      <c r="O91" t="s">
        <v>7</v>
      </c>
      <c r="P91" t="s">
        <v>8</v>
      </c>
    </row>
    <row r="92" spans="1:16" ht="13.95" customHeight="1" x14ac:dyDescent="0.25">
      <c r="A92" s="2" t="s">
        <v>0</v>
      </c>
      <c r="B92" t="s">
        <v>1</v>
      </c>
      <c r="C92" s="3">
        <v>46276</v>
      </c>
      <c r="D92" t="s">
        <v>2</v>
      </c>
      <c r="E92" t="s">
        <v>0</v>
      </c>
      <c r="F92" s="5">
        <v>122504</v>
      </c>
      <c r="G92" s="5" t="str">
        <f>VLOOKUP(F92,'[1]46974159BCSET2026'!$F:$AE,26,0)</f>
        <v>Sim</v>
      </c>
      <c r="H92" t="s">
        <v>3</v>
      </c>
      <c r="I92" s="3">
        <v>46276</v>
      </c>
      <c r="J92" t="s">
        <v>4</v>
      </c>
      <c r="K92" t="s">
        <v>129</v>
      </c>
      <c r="L92" t="s">
        <v>130</v>
      </c>
      <c r="M92" s="8">
        <v>-5633.4</v>
      </c>
      <c r="N92" t="s">
        <v>0</v>
      </c>
      <c r="O92" t="s">
        <v>7</v>
      </c>
      <c r="P92" t="s">
        <v>8</v>
      </c>
    </row>
    <row r="93" spans="1:16" ht="13.95" customHeight="1" x14ac:dyDescent="0.25">
      <c r="A93" s="2" t="s">
        <v>0</v>
      </c>
      <c r="B93" t="s">
        <v>1</v>
      </c>
      <c r="C93" s="3">
        <v>46276</v>
      </c>
      <c r="D93" t="s">
        <v>2</v>
      </c>
      <c r="E93" t="s">
        <v>0</v>
      </c>
      <c r="F93" s="5">
        <v>122497</v>
      </c>
      <c r="G93" s="5" t="str">
        <f>VLOOKUP(F93,'[1]46974159BCSET2026'!$F:$AE,26,0)</f>
        <v>Sim</v>
      </c>
      <c r="H93" t="s">
        <v>3</v>
      </c>
      <c r="I93" s="3">
        <v>46276</v>
      </c>
      <c r="J93" t="s">
        <v>4</v>
      </c>
      <c r="K93" t="s">
        <v>131</v>
      </c>
      <c r="L93" t="s">
        <v>132</v>
      </c>
      <c r="M93" s="8">
        <v>-5614.79</v>
      </c>
      <c r="N93" t="s">
        <v>0</v>
      </c>
      <c r="O93" t="s">
        <v>7</v>
      </c>
      <c r="P93" t="s">
        <v>8</v>
      </c>
    </row>
    <row r="94" spans="1:16" ht="13.95" customHeight="1" x14ac:dyDescent="0.25">
      <c r="A94" s="2" t="s">
        <v>0</v>
      </c>
      <c r="B94" t="s">
        <v>1</v>
      </c>
      <c r="C94" s="3">
        <v>46276</v>
      </c>
      <c r="D94" t="s">
        <v>2</v>
      </c>
      <c r="E94" t="s">
        <v>0</v>
      </c>
      <c r="F94" s="5">
        <v>122201</v>
      </c>
      <c r="G94" s="5" t="str">
        <f>VLOOKUP(F94,'[1]46974159BCSET2026'!$F:$AE,26,0)</f>
        <v>Sim</v>
      </c>
      <c r="H94" t="s">
        <v>3</v>
      </c>
      <c r="I94" s="3">
        <v>46276</v>
      </c>
      <c r="J94" t="s">
        <v>4</v>
      </c>
      <c r="K94" t="s">
        <v>133</v>
      </c>
      <c r="L94" t="s">
        <v>134</v>
      </c>
      <c r="M94" s="8">
        <v>-5584.69</v>
      </c>
      <c r="N94" t="s">
        <v>0</v>
      </c>
      <c r="O94" t="s">
        <v>7</v>
      </c>
      <c r="P94" t="s">
        <v>8</v>
      </c>
    </row>
    <row r="95" spans="1:16" ht="13.95" customHeight="1" x14ac:dyDescent="0.25">
      <c r="A95" s="2" t="s">
        <v>0</v>
      </c>
      <c r="B95" t="s">
        <v>1</v>
      </c>
      <c r="C95" s="3">
        <v>46276</v>
      </c>
      <c r="D95" t="s">
        <v>2</v>
      </c>
      <c r="E95" t="s">
        <v>0</v>
      </c>
      <c r="F95" s="5">
        <v>122208</v>
      </c>
      <c r="G95" s="5" t="str">
        <f>VLOOKUP(F95,'[1]46974159BCSET2026'!$F:$AE,26,0)</f>
        <v>Sim</v>
      </c>
      <c r="H95" t="s">
        <v>3</v>
      </c>
      <c r="I95" s="3">
        <v>46276</v>
      </c>
      <c r="J95" t="s">
        <v>4</v>
      </c>
      <c r="K95" t="s">
        <v>135</v>
      </c>
      <c r="L95" t="s">
        <v>136</v>
      </c>
      <c r="M95" s="8">
        <v>-5504.08</v>
      </c>
      <c r="N95" t="s">
        <v>0</v>
      </c>
      <c r="O95" t="s">
        <v>7</v>
      </c>
      <c r="P95" t="s">
        <v>8</v>
      </c>
    </row>
    <row r="96" spans="1:16" ht="13.95" customHeight="1" x14ac:dyDescent="0.25">
      <c r="A96" s="2" t="s">
        <v>0</v>
      </c>
      <c r="B96" t="s">
        <v>1</v>
      </c>
      <c r="C96" s="3">
        <v>46276</v>
      </c>
      <c r="D96" t="s">
        <v>2</v>
      </c>
      <c r="E96" t="s">
        <v>0</v>
      </c>
      <c r="F96" s="5">
        <v>122273</v>
      </c>
      <c r="G96" s="5" t="str">
        <f>VLOOKUP(F96,'[1]46974159BCSET2026'!$F:$AE,26,0)</f>
        <v>Sim</v>
      </c>
      <c r="H96" t="s">
        <v>3</v>
      </c>
      <c r="I96" s="3">
        <v>46276</v>
      </c>
      <c r="J96" t="s">
        <v>4</v>
      </c>
      <c r="K96" t="s">
        <v>137</v>
      </c>
      <c r="L96" t="s">
        <v>138</v>
      </c>
      <c r="M96" s="8">
        <v>-5354.08</v>
      </c>
      <c r="N96" t="s">
        <v>0</v>
      </c>
      <c r="O96" t="s">
        <v>7</v>
      </c>
      <c r="P96" t="s">
        <v>8</v>
      </c>
    </row>
    <row r="97" spans="1:16" ht="13.95" customHeight="1" x14ac:dyDescent="0.25">
      <c r="A97" s="2" t="s">
        <v>0</v>
      </c>
      <c r="B97" t="s">
        <v>1</v>
      </c>
      <c r="C97" s="3">
        <v>46276</v>
      </c>
      <c r="D97" t="s">
        <v>2</v>
      </c>
      <c r="E97" t="s">
        <v>0</v>
      </c>
      <c r="F97" s="5">
        <v>122237</v>
      </c>
      <c r="G97" s="5" t="str">
        <f>VLOOKUP(F97,'[1]46974159BCSET2026'!$F:$AE,26,0)</f>
        <v>Sim</v>
      </c>
      <c r="H97" t="s">
        <v>3</v>
      </c>
      <c r="I97" s="3">
        <v>46276</v>
      </c>
      <c r="J97" t="s">
        <v>4</v>
      </c>
      <c r="K97" t="s">
        <v>139</v>
      </c>
      <c r="L97" t="s">
        <v>140</v>
      </c>
      <c r="M97" s="8">
        <v>-5288.53</v>
      </c>
      <c r="N97" t="s">
        <v>0</v>
      </c>
      <c r="O97" t="s">
        <v>7</v>
      </c>
      <c r="P97" t="s">
        <v>8</v>
      </c>
    </row>
    <row r="98" spans="1:16" ht="13.95" customHeight="1" x14ac:dyDescent="0.25">
      <c r="A98" s="2" t="s">
        <v>0</v>
      </c>
      <c r="B98" t="s">
        <v>1</v>
      </c>
      <c r="C98" s="3">
        <v>46276</v>
      </c>
      <c r="D98" t="s">
        <v>2</v>
      </c>
      <c r="E98" t="s">
        <v>0</v>
      </c>
      <c r="F98" s="5">
        <v>122642</v>
      </c>
      <c r="G98" s="5" t="str">
        <f>VLOOKUP(F98,'[1]46974159BCSET2026'!$F:$AE,26,0)</f>
        <v>Sim</v>
      </c>
      <c r="H98" t="s">
        <v>3</v>
      </c>
      <c r="I98" s="3">
        <v>46276</v>
      </c>
      <c r="J98" t="s">
        <v>4</v>
      </c>
      <c r="K98" t="s">
        <v>141</v>
      </c>
      <c r="L98" t="s">
        <v>142</v>
      </c>
      <c r="M98" s="8">
        <v>-5120.57</v>
      </c>
      <c r="N98" t="s">
        <v>0</v>
      </c>
      <c r="O98" t="s">
        <v>7</v>
      </c>
      <c r="P98" t="s">
        <v>8</v>
      </c>
    </row>
    <row r="99" spans="1:16" ht="13.95" customHeight="1" x14ac:dyDescent="0.25">
      <c r="A99" s="2" t="s">
        <v>0</v>
      </c>
      <c r="B99" t="s">
        <v>1</v>
      </c>
      <c r="C99" s="3">
        <v>46276</v>
      </c>
      <c r="D99" t="s">
        <v>2</v>
      </c>
      <c r="E99" t="s">
        <v>0</v>
      </c>
      <c r="F99" s="5">
        <v>122625</v>
      </c>
      <c r="G99" s="5" t="str">
        <f>VLOOKUP(F99,'[1]46974159BCSET2026'!$F:$AE,26,0)</f>
        <v>Sim</v>
      </c>
      <c r="H99" t="s">
        <v>3</v>
      </c>
      <c r="I99" s="3">
        <v>46276</v>
      </c>
      <c r="J99" t="s">
        <v>4</v>
      </c>
      <c r="K99" t="s">
        <v>66</v>
      </c>
      <c r="L99" t="s">
        <v>67</v>
      </c>
      <c r="M99" s="8">
        <v>-5102.04</v>
      </c>
      <c r="N99" t="s">
        <v>0</v>
      </c>
      <c r="O99" t="s">
        <v>7</v>
      </c>
      <c r="P99" t="s">
        <v>8</v>
      </c>
    </row>
    <row r="100" spans="1:16" ht="13.95" customHeight="1" x14ac:dyDescent="0.25">
      <c r="A100" s="2" t="s">
        <v>0</v>
      </c>
      <c r="B100" t="s">
        <v>1</v>
      </c>
      <c r="C100" s="3">
        <v>46276</v>
      </c>
      <c r="D100" t="s">
        <v>2</v>
      </c>
      <c r="E100" t="s">
        <v>0</v>
      </c>
      <c r="F100" s="5">
        <v>122297</v>
      </c>
      <c r="G100" s="5" t="str">
        <f>VLOOKUP(F100,'[1]46974159BCSET2026'!$F:$AE,26,0)</f>
        <v>Sim</v>
      </c>
      <c r="H100" t="s">
        <v>3</v>
      </c>
      <c r="I100" s="3">
        <v>46276</v>
      </c>
      <c r="J100" t="s">
        <v>4</v>
      </c>
      <c r="K100" t="s">
        <v>143</v>
      </c>
      <c r="L100" t="s">
        <v>144</v>
      </c>
      <c r="M100" s="8">
        <v>-5052.09</v>
      </c>
      <c r="N100" t="s">
        <v>0</v>
      </c>
      <c r="O100" t="s">
        <v>7</v>
      </c>
      <c r="P100" t="s">
        <v>8</v>
      </c>
    </row>
    <row r="101" spans="1:16" ht="13.95" customHeight="1" x14ac:dyDescent="0.25">
      <c r="A101" s="2" t="s">
        <v>0</v>
      </c>
      <c r="B101" t="s">
        <v>1</v>
      </c>
      <c r="C101" s="3">
        <v>46276</v>
      </c>
      <c r="D101" t="s">
        <v>2</v>
      </c>
      <c r="E101" t="s">
        <v>0</v>
      </c>
      <c r="F101" s="5">
        <v>122212</v>
      </c>
      <c r="G101" s="5" t="str">
        <f>VLOOKUP(F101,'[1]46974159BCSET2026'!$F:$AE,26,0)</f>
        <v>Sim</v>
      </c>
      <c r="H101" t="s">
        <v>3</v>
      </c>
      <c r="I101" s="3">
        <v>46276</v>
      </c>
      <c r="J101" t="s">
        <v>4</v>
      </c>
      <c r="K101" t="s">
        <v>145</v>
      </c>
      <c r="L101" t="s">
        <v>146</v>
      </c>
      <c r="M101" s="8">
        <v>-4996.51</v>
      </c>
      <c r="N101" t="s">
        <v>0</v>
      </c>
      <c r="O101" t="s">
        <v>7</v>
      </c>
      <c r="P101" t="s">
        <v>8</v>
      </c>
    </row>
    <row r="102" spans="1:16" ht="13.95" customHeight="1" x14ac:dyDescent="0.25">
      <c r="A102" s="2" t="s">
        <v>0</v>
      </c>
      <c r="B102" t="s">
        <v>1</v>
      </c>
      <c r="C102" s="3">
        <v>46276</v>
      </c>
      <c r="D102" t="s">
        <v>2</v>
      </c>
      <c r="E102" t="s">
        <v>0</v>
      </c>
      <c r="F102" s="5">
        <v>122674</v>
      </c>
      <c r="G102" s="5" t="str">
        <f>VLOOKUP(F102,'[1]46974159BCSET2026'!$F:$AE,26,0)</f>
        <v>Sim</v>
      </c>
      <c r="H102" t="s">
        <v>3</v>
      </c>
      <c r="I102" s="3">
        <v>46276</v>
      </c>
      <c r="J102" t="s">
        <v>4</v>
      </c>
      <c r="K102" t="s">
        <v>147</v>
      </c>
      <c r="L102" t="s">
        <v>148</v>
      </c>
      <c r="M102" s="8">
        <v>-4974.1000000000004</v>
      </c>
      <c r="N102" t="s">
        <v>0</v>
      </c>
      <c r="O102" t="s">
        <v>7</v>
      </c>
      <c r="P102" t="s">
        <v>8</v>
      </c>
    </row>
    <row r="103" spans="1:16" ht="13.95" customHeight="1" x14ac:dyDescent="0.25">
      <c r="A103" s="2" t="s">
        <v>0</v>
      </c>
      <c r="B103" t="s">
        <v>1</v>
      </c>
      <c r="C103" s="3">
        <v>46276</v>
      </c>
      <c r="D103" t="s">
        <v>2</v>
      </c>
      <c r="E103" t="s">
        <v>0</v>
      </c>
      <c r="F103" s="5">
        <v>122328</v>
      </c>
      <c r="G103" s="5" t="str">
        <f>VLOOKUP(F103,'[1]46974159BCSET2026'!$F:$AE,26,0)</f>
        <v>Sim</v>
      </c>
      <c r="H103" t="s">
        <v>3</v>
      </c>
      <c r="I103" s="3">
        <v>46276</v>
      </c>
      <c r="J103" t="s">
        <v>4</v>
      </c>
      <c r="K103" t="s">
        <v>149</v>
      </c>
      <c r="L103" t="s">
        <v>150</v>
      </c>
      <c r="M103" s="8">
        <v>-4949.8100000000004</v>
      </c>
      <c r="N103" t="s">
        <v>0</v>
      </c>
      <c r="O103" t="s">
        <v>7</v>
      </c>
      <c r="P103" t="s">
        <v>8</v>
      </c>
    </row>
    <row r="104" spans="1:16" ht="13.95" customHeight="1" x14ac:dyDescent="0.25">
      <c r="A104" s="2" t="s">
        <v>0</v>
      </c>
      <c r="B104" t="s">
        <v>1</v>
      </c>
      <c r="C104" s="3">
        <v>46276</v>
      </c>
      <c r="D104" t="s">
        <v>2</v>
      </c>
      <c r="E104" t="s">
        <v>0</v>
      </c>
      <c r="F104" s="5">
        <v>122213</v>
      </c>
      <c r="G104" s="5" t="str">
        <f>VLOOKUP(F104,'[1]46974159BCSET2026'!$F:$AE,26,0)</f>
        <v>Sim</v>
      </c>
      <c r="H104" t="s">
        <v>3</v>
      </c>
      <c r="I104" s="3">
        <v>46276</v>
      </c>
      <c r="J104" t="s">
        <v>4</v>
      </c>
      <c r="K104" t="s">
        <v>151</v>
      </c>
      <c r="L104" t="s">
        <v>152</v>
      </c>
      <c r="M104" s="8">
        <v>-4920.3999999999996</v>
      </c>
      <c r="N104" t="s">
        <v>0</v>
      </c>
      <c r="O104" t="s">
        <v>7</v>
      </c>
      <c r="P104" t="s">
        <v>8</v>
      </c>
    </row>
    <row r="105" spans="1:16" ht="13.95" customHeight="1" x14ac:dyDescent="0.25">
      <c r="A105" s="2" t="s">
        <v>0</v>
      </c>
      <c r="B105" t="s">
        <v>1</v>
      </c>
      <c r="C105" s="3">
        <v>46276</v>
      </c>
      <c r="D105" t="s">
        <v>2</v>
      </c>
      <c r="E105" t="s">
        <v>0</v>
      </c>
      <c r="F105" s="5">
        <v>122650</v>
      </c>
      <c r="G105" s="5" t="str">
        <f>VLOOKUP(F105,'[1]46974159BCSET2026'!$F:$AE,26,0)</f>
        <v>Sim</v>
      </c>
      <c r="H105" t="s">
        <v>3</v>
      </c>
      <c r="I105" s="3">
        <v>46276</v>
      </c>
      <c r="J105" t="s">
        <v>4</v>
      </c>
      <c r="K105" t="s">
        <v>153</v>
      </c>
      <c r="L105" t="s">
        <v>154</v>
      </c>
      <c r="M105" s="8">
        <v>-4913.91</v>
      </c>
      <c r="N105" t="s">
        <v>0</v>
      </c>
      <c r="O105" t="s">
        <v>7</v>
      </c>
      <c r="P105" t="s">
        <v>8</v>
      </c>
    </row>
    <row r="106" spans="1:16" ht="13.95" customHeight="1" x14ac:dyDescent="0.25">
      <c r="A106" s="2" t="s">
        <v>0</v>
      </c>
      <c r="B106" t="s">
        <v>1</v>
      </c>
      <c r="C106" s="3">
        <v>46276</v>
      </c>
      <c r="D106" t="s">
        <v>2</v>
      </c>
      <c r="E106" t="s">
        <v>0</v>
      </c>
      <c r="F106" s="5">
        <v>122498</v>
      </c>
      <c r="G106" s="5" t="str">
        <f>VLOOKUP(F106,'[1]46974159BCSET2026'!$F:$AE,26,0)</f>
        <v>Sim</v>
      </c>
      <c r="H106" t="s">
        <v>3</v>
      </c>
      <c r="I106" s="3">
        <v>46276</v>
      </c>
      <c r="J106" t="s">
        <v>4</v>
      </c>
      <c r="K106" t="s">
        <v>99</v>
      </c>
      <c r="L106" t="s">
        <v>100</v>
      </c>
      <c r="M106" s="8">
        <v>-4905.21</v>
      </c>
      <c r="N106" t="s">
        <v>0</v>
      </c>
      <c r="O106" t="s">
        <v>7</v>
      </c>
      <c r="P106" t="s">
        <v>8</v>
      </c>
    </row>
    <row r="107" spans="1:16" ht="13.95" customHeight="1" x14ac:dyDescent="0.25">
      <c r="A107" s="2" t="s">
        <v>0</v>
      </c>
      <c r="B107" t="s">
        <v>1</v>
      </c>
      <c r="C107" s="3">
        <v>46276</v>
      </c>
      <c r="D107" t="s">
        <v>2</v>
      </c>
      <c r="E107" t="s">
        <v>0</v>
      </c>
      <c r="F107" s="5">
        <v>122196</v>
      </c>
      <c r="G107" s="5" t="str">
        <f>VLOOKUP(F107,'[1]46974159BCSET2026'!$F:$AE,26,0)</f>
        <v>Sim</v>
      </c>
      <c r="H107" t="s">
        <v>3</v>
      </c>
      <c r="I107" s="3">
        <v>46276</v>
      </c>
      <c r="J107" t="s">
        <v>4</v>
      </c>
      <c r="K107" t="s">
        <v>155</v>
      </c>
      <c r="L107" t="s">
        <v>156</v>
      </c>
      <c r="M107" s="8">
        <v>-4824.8599999999997</v>
      </c>
      <c r="N107" t="s">
        <v>0</v>
      </c>
      <c r="O107" t="s">
        <v>7</v>
      </c>
      <c r="P107" t="s">
        <v>8</v>
      </c>
    </row>
    <row r="108" spans="1:16" ht="13.95" customHeight="1" x14ac:dyDescent="0.25">
      <c r="A108" s="2" t="s">
        <v>0</v>
      </c>
      <c r="B108" t="s">
        <v>1</v>
      </c>
      <c r="C108" s="3">
        <v>46276</v>
      </c>
      <c r="D108" t="s">
        <v>2</v>
      </c>
      <c r="E108" t="s">
        <v>0</v>
      </c>
      <c r="F108" s="5">
        <v>122281</v>
      </c>
      <c r="G108" s="5" t="str">
        <f>VLOOKUP(F108,'[1]46974159BCSET2026'!$F:$AE,26,0)</f>
        <v>Sim</v>
      </c>
      <c r="H108" t="s">
        <v>3</v>
      </c>
      <c r="I108" s="3">
        <v>46276</v>
      </c>
      <c r="J108" t="s">
        <v>4</v>
      </c>
      <c r="K108" t="s">
        <v>157</v>
      </c>
      <c r="L108" t="s">
        <v>158</v>
      </c>
      <c r="M108" s="8">
        <v>-4779.07</v>
      </c>
      <c r="N108" t="s">
        <v>0</v>
      </c>
      <c r="O108" t="s">
        <v>7</v>
      </c>
      <c r="P108" t="s">
        <v>8</v>
      </c>
    </row>
    <row r="109" spans="1:16" ht="13.95" customHeight="1" x14ac:dyDescent="0.25">
      <c r="A109" s="2" t="s">
        <v>0</v>
      </c>
      <c r="B109" t="s">
        <v>1</v>
      </c>
      <c r="C109" s="3">
        <v>46276</v>
      </c>
      <c r="D109" t="s">
        <v>2</v>
      </c>
      <c r="E109" t="s">
        <v>0</v>
      </c>
      <c r="F109" s="5">
        <v>122513</v>
      </c>
      <c r="G109" s="5" t="str">
        <f>VLOOKUP(F109,'[1]46974159BCSET2026'!$F:$AE,26,0)</f>
        <v>Sim</v>
      </c>
      <c r="H109" t="s">
        <v>3</v>
      </c>
      <c r="I109" s="3">
        <v>46276</v>
      </c>
      <c r="J109" t="s">
        <v>4</v>
      </c>
      <c r="K109" t="s">
        <v>159</v>
      </c>
      <c r="L109" t="s">
        <v>160</v>
      </c>
      <c r="M109" s="8">
        <v>-4754.29</v>
      </c>
      <c r="N109" t="s">
        <v>0</v>
      </c>
      <c r="O109" t="s">
        <v>7</v>
      </c>
      <c r="P109" t="s">
        <v>8</v>
      </c>
    </row>
    <row r="110" spans="1:16" ht="13.95" customHeight="1" x14ac:dyDescent="0.25">
      <c r="A110" s="2" t="s">
        <v>0</v>
      </c>
      <c r="B110" t="s">
        <v>1</v>
      </c>
      <c r="C110" s="3">
        <v>46276</v>
      </c>
      <c r="D110" t="s">
        <v>2</v>
      </c>
      <c r="E110" t="s">
        <v>0</v>
      </c>
      <c r="F110" s="5">
        <v>122505</v>
      </c>
      <c r="G110" s="5" t="str">
        <f>VLOOKUP(F110,'[1]46974159BCSET2026'!$F:$AE,26,0)</f>
        <v>Sim</v>
      </c>
      <c r="H110" t="s">
        <v>3</v>
      </c>
      <c r="I110" s="3">
        <v>46276</v>
      </c>
      <c r="J110" t="s">
        <v>4</v>
      </c>
      <c r="K110" t="s">
        <v>161</v>
      </c>
      <c r="L110" t="s">
        <v>162</v>
      </c>
      <c r="M110" s="8">
        <v>-4736.17</v>
      </c>
      <c r="N110" t="s">
        <v>0</v>
      </c>
      <c r="O110" t="s">
        <v>7</v>
      </c>
      <c r="P110" t="s">
        <v>8</v>
      </c>
    </row>
    <row r="111" spans="1:16" ht="13.95" customHeight="1" x14ac:dyDescent="0.25">
      <c r="A111" s="2" t="s">
        <v>0</v>
      </c>
      <c r="B111" t="s">
        <v>1</v>
      </c>
      <c r="C111" s="3">
        <v>46276</v>
      </c>
      <c r="D111" t="s">
        <v>2</v>
      </c>
      <c r="E111" t="s">
        <v>0</v>
      </c>
      <c r="F111" s="5">
        <v>122668</v>
      </c>
      <c r="G111" s="5" t="str">
        <f>VLOOKUP(F111,'[1]46974159BCSET2026'!$F:$AE,26,0)</f>
        <v>Sim</v>
      </c>
      <c r="H111" t="s">
        <v>3</v>
      </c>
      <c r="I111" s="3">
        <v>46276</v>
      </c>
      <c r="J111" t="s">
        <v>4</v>
      </c>
      <c r="K111" t="s">
        <v>163</v>
      </c>
      <c r="L111" t="s">
        <v>164</v>
      </c>
      <c r="M111" s="8">
        <v>-4727.0200000000004</v>
      </c>
      <c r="N111" t="s">
        <v>0</v>
      </c>
      <c r="O111" t="s">
        <v>7</v>
      </c>
      <c r="P111" t="s">
        <v>8</v>
      </c>
    </row>
    <row r="112" spans="1:16" ht="13.95" customHeight="1" x14ac:dyDescent="0.25">
      <c r="A112" s="2" t="s">
        <v>0</v>
      </c>
      <c r="B112" t="s">
        <v>1</v>
      </c>
      <c r="C112" s="3">
        <v>46276</v>
      </c>
      <c r="D112" t="s">
        <v>2</v>
      </c>
      <c r="E112" t="s">
        <v>0</v>
      </c>
      <c r="F112" s="5">
        <v>122202</v>
      </c>
      <c r="G112" s="5" t="str">
        <f>VLOOKUP(F112,'[1]46974159BCSET2026'!$F:$AE,26,0)</f>
        <v>Sim</v>
      </c>
      <c r="H112" t="s">
        <v>3</v>
      </c>
      <c r="I112" s="3">
        <v>46276</v>
      </c>
      <c r="J112" t="s">
        <v>4</v>
      </c>
      <c r="K112" t="s">
        <v>165</v>
      </c>
      <c r="L112" t="s">
        <v>166</v>
      </c>
      <c r="M112" s="8">
        <v>-4698.25</v>
      </c>
      <c r="N112" t="s">
        <v>0</v>
      </c>
      <c r="O112" t="s">
        <v>7</v>
      </c>
      <c r="P112" t="s">
        <v>8</v>
      </c>
    </row>
    <row r="113" spans="1:16" ht="13.95" customHeight="1" x14ac:dyDescent="0.25">
      <c r="A113" s="2" t="s">
        <v>0</v>
      </c>
      <c r="B113" t="s">
        <v>1</v>
      </c>
      <c r="C113" s="3">
        <v>46276</v>
      </c>
      <c r="D113" t="s">
        <v>2</v>
      </c>
      <c r="E113" t="s">
        <v>0</v>
      </c>
      <c r="F113" s="5">
        <v>122230</v>
      </c>
      <c r="G113" s="5" t="str">
        <f>VLOOKUP(F113,'[1]46974159BCSET2026'!$F:$AE,26,0)</f>
        <v>Sim</v>
      </c>
      <c r="H113" t="s">
        <v>3</v>
      </c>
      <c r="I113" s="3">
        <v>46276</v>
      </c>
      <c r="J113" t="s">
        <v>4</v>
      </c>
      <c r="K113" t="s">
        <v>9</v>
      </c>
      <c r="L113" t="s">
        <v>10</v>
      </c>
      <c r="M113" s="8">
        <v>-4676.84</v>
      </c>
      <c r="N113" t="s">
        <v>0</v>
      </c>
      <c r="O113" t="s">
        <v>7</v>
      </c>
      <c r="P113" t="s">
        <v>8</v>
      </c>
    </row>
    <row r="114" spans="1:16" ht="13.95" customHeight="1" x14ac:dyDescent="0.25">
      <c r="A114" s="2" t="s">
        <v>0</v>
      </c>
      <c r="B114" t="s">
        <v>1</v>
      </c>
      <c r="C114" s="3">
        <v>46276</v>
      </c>
      <c r="D114" t="s">
        <v>2</v>
      </c>
      <c r="E114" t="s">
        <v>0</v>
      </c>
      <c r="F114" s="5">
        <v>122592</v>
      </c>
      <c r="G114" s="5" t="str">
        <f>VLOOKUP(F114,'[1]46974159BCSET2026'!$F:$AE,26,0)</f>
        <v>Sim</v>
      </c>
      <c r="H114" t="s">
        <v>3</v>
      </c>
      <c r="I114" s="3">
        <v>46276</v>
      </c>
      <c r="J114" t="s">
        <v>4</v>
      </c>
      <c r="K114" t="s">
        <v>167</v>
      </c>
      <c r="L114" t="s">
        <v>168</v>
      </c>
      <c r="M114" s="8">
        <v>-4636.32</v>
      </c>
      <c r="N114" t="s">
        <v>0</v>
      </c>
      <c r="O114" t="s">
        <v>7</v>
      </c>
      <c r="P114" t="s">
        <v>8</v>
      </c>
    </row>
    <row r="115" spans="1:16" ht="13.95" customHeight="1" x14ac:dyDescent="0.25">
      <c r="A115" s="2" t="s">
        <v>0</v>
      </c>
      <c r="B115" t="s">
        <v>1</v>
      </c>
      <c r="C115" s="3">
        <v>46276</v>
      </c>
      <c r="D115" t="s">
        <v>2</v>
      </c>
      <c r="E115" t="s">
        <v>0</v>
      </c>
      <c r="F115" s="5">
        <v>122662</v>
      </c>
      <c r="G115" s="5" t="str">
        <f>VLOOKUP(F115,'[1]46974159BCSET2026'!$F:$AE,26,0)</f>
        <v>Sim</v>
      </c>
      <c r="H115" t="s">
        <v>3</v>
      </c>
      <c r="I115" s="3">
        <v>46276</v>
      </c>
      <c r="J115" t="s">
        <v>4</v>
      </c>
      <c r="K115" t="s">
        <v>64</v>
      </c>
      <c r="L115" t="s">
        <v>65</v>
      </c>
      <c r="M115" s="8">
        <v>-4576.49</v>
      </c>
      <c r="N115" t="s">
        <v>0</v>
      </c>
      <c r="O115" t="s">
        <v>7</v>
      </c>
      <c r="P115" t="s">
        <v>8</v>
      </c>
    </row>
    <row r="116" spans="1:16" ht="13.95" customHeight="1" x14ac:dyDescent="0.25">
      <c r="A116" s="2" t="s">
        <v>0</v>
      </c>
      <c r="B116" t="s">
        <v>1</v>
      </c>
      <c r="C116" s="3">
        <v>46276</v>
      </c>
      <c r="D116" t="s">
        <v>2</v>
      </c>
      <c r="E116" t="s">
        <v>0</v>
      </c>
      <c r="F116" s="5">
        <v>122321</v>
      </c>
      <c r="G116" s="5" t="str">
        <f>VLOOKUP(F116,'[1]46974159BCSET2026'!$F:$AE,26,0)</f>
        <v>Sim</v>
      </c>
      <c r="H116" t="s">
        <v>3</v>
      </c>
      <c r="I116" s="3">
        <v>46276</v>
      </c>
      <c r="J116" t="s">
        <v>4</v>
      </c>
      <c r="K116" t="s">
        <v>169</v>
      </c>
      <c r="L116" t="s">
        <v>170</v>
      </c>
      <c r="M116" s="8">
        <v>-4573.54</v>
      </c>
      <c r="N116" t="s">
        <v>0</v>
      </c>
      <c r="O116" t="s">
        <v>7</v>
      </c>
      <c r="P116" t="s">
        <v>8</v>
      </c>
    </row>
    <row r="117" spans="1:16" ht="13.95" customHeight="1" x14ac:dyDescent="0.25">
      <c r="A117" s="2" t="s">
        <v>0</v>
      </c>
      <c r="B117" t="s">
        <v>1</v>
      </c>
      <c r="C117" s="3">
        <v>46276</v>
      </c>
      <c r="D117" t="s">
        <v>2</v>
      </c>
      <c r="E117" t="s">
        <v>0</v>
      </c>
      <c r="F117" s="5">
        <v>122672</v>
      </c>
      <c r="G117" s="5" t="str">
        <f>VLOOKUP(F117,'[1]46974159BCSET2026'!$F:$AE,26,0)</f>
        <v>Sim</v>
      </c>
      <c r="H117" t="s">
        <v>3</v>
      </c>
      <c r="I117" s="3">
        <v>46276</v>
      </c>
      <c r="J117" t="s">
        <v>4</v>
      </c>
      <c r="K117" t="s">
        <v>171</v>
      </c>
      <c r="L117" t="s">
        <v>172</v>
      </c>
      <c r="M117" s="8">
        <v>-4519.6000000000004</v>
      </c>
      <c r="N117" t="s">
        <v>0</v>
      </c>
      <c r="O117" t="s">
        <v>7</v>
      </c>
      <c r="P117" t="s">
        <v>8</v>
      </c>
    </row>
    <row r="118" spans="1:16" ht="13.95" hidden="1" customHeight="1" x14ac:dyDescent="0.25">
      <c r="A118" s="2" t="s">
        <v>0</v>
      </c>
      <c r="B118" t="s">
        <v>1</v>
      </c>
      <c r="C118" s="3">
        <v>46275</v>
      </c>
      <c r="D118" t="s">
        <v>19</v>
      </c>
      <c r="E118" t="s">
        <v>0</v>
      </c>
      <c r="F118" s="5">
        <v>0</v>
      </c>
      <c r="G118" s="5" t="e">
        <f>VLOOKUP(F118,'[1]46974159BCSET2026'!$F:$AE,26,0)</f>
        <v>#N/A</v>
      </c>
      <c r="H118" t="s">
        <v>3</v>
      </c>
      <c r="I118" s="3">
        <v>46275</v>
      </c>
      <c r="J118" t="s">
        <v>1281</v>
      </c>
      <c r="K118" t="s">
        <v>1282</v>
      </c>
      <c r="L118" t="s">
        <v>1283</v>
      </c>
      <c r="M118" s="8">
        <v>1207.9000000000001</v>
      </c>
      <c r="N118" t="s">
        <v>0</v>
      </c>
      <c r="O118" t="s">
        <v>7</v>
      </c>
      <c r="P118" t="s">
        <v>8</v>
      </c>
    </row>
    <row r="119" spans="1:16" ht="13.95" customHeight="1" x14ac:dyDescent="0.25">
      <c r="A119" s="2" t="s">
        <v>0</v>
      </c>
      <c r="B119" t="s">
        <v>1</v>
      </c>
      <c r="C119" s="3">
        <v>46279</v>
      </c>
      <c r="D119" t="s">
        <v>176</v>
      </c>
      <c r="E119" t="s">
        <v>0</v>
      </c>
      <c r="F119" s="5">
        <v>122187</v>
      </c>
      <c r="G119" s="5" t="str">
        <f>VLOOKUP(F119,'[1]46974159BCSET2026'!$F:$AE,26,0)</f>
        <v>Sim</v>
      </c>
      <c r="H119" t="s">
        <v>3</v>
      </c>
      <c r="I119" s="3">
        <v>46279</v>
      </c>
      <c r="J119" t="s">
        <v>4</v>
      </c>
      <c r="K119" t="s">
        <v>177</v>
      </c>
      <c r="L119" t="s">
        <v>178</v>
      </c>
      <c r="M119" s="8">
        <v>-4508.28</v>
      </c>
      <c r="N119" t="s">
        <v>0</v>
      </c>
      <c r="O119" t="s">
        <v>7</v>
      </c>
      <c r="P119" t="s">
        <v>8</v>
      </c>
    </row>
    <row r="120" spans="1:16" ht="13.95" customHeight="1" x14ac:dyDescent="0.25">
      <c r="A120" s="2" t="s">
        <v>0</v>
      </c>
      <c r="B120" t="s">
        <v>1</v>
      </c>
      <c r="C120" s="3">
        <v>46276</v>
      </c>
      <c r="D120" t="s">
        <v>2</v>
      </c>
      <c r="E120" t="s">
        <v>0</v>
      </c>
      <c r="F120" s="5">
        <v>122251</v>
      </c>
      <c r="G120" s="5" t="str">
        <f>VLOOKUP(F120,'[1]46974159BCSET2026'!$F:$AE,26,0)</f>
        <v>Sim</v>
      </c>
      <c r="H120" t="s">
        <v>3</v>
      </c>
      <c r="I120" s="3">
        <v>46276</v>
      </c>
      <c r="J120" t="s">
        <v>4</v>
      </c>
      <c r="K120" t="s">
        <v>179</v>
      </c>
      <c r="L120" t="s">
        <v>180</v>
      </c>
      <c r="M120" s="8">
        <v>-4488.78</v>
      </c>
      <c r="N120" t="s">
        <v>0</v>
      </c>
      <c r="O120" t="s">
        <v>7</v>
      </c>
      <c r="P120" t="s">
        <v>8</v>
      </c>
    </row>
    <row r="121" spans="1:16" ht="13.95" customHeight="1" x14ac:dyDescent="0.25">
      <c r="A121" s="2" t="s">
        <v>0</v>
      </c>
      <c r="B121" t="s">
        <v>1</v>
      </c>
      <c r="C121" s="3">
        <v>46276</v>
      </c>
      <c r="D121" t="s">
        <v>2</v>
      </c>
      <c r="E121" t="s">
        <v>0</v>
      </c>
      <c r="F121" s="5">
        <v>122531</v>
      </c>
      <c r="G121" s="5" t="str">
        <f>VLOOKUP(F121,'[1]46974159BCSET2026'!$F:$AE,26,0)</f>
        <v>Sim</v>
      </c>
      <c r="H121" t="s">
        <v>3</v>
      </c>
      <c r="I121" s="3">
        <v>46276</v>
      </c>
      <c r="J121" t="s">
        <v>4</v>
      </c>
      <c r="K121" t="s">
        <v>181</v>
      </c>
      <c r="L121" t="s">
        <v>182</v>
      </c>
      <c r="M121" s="8">
        <v>-4475.75</v>
      </c>
      <c r="N121" t="s">
        <v>0</v>
      </c>
      <c r="O121" t="s">
        <v>7</v>
      </c>
      <c r="P121" t="s">
        <v>8</v>
      </c>
    </row>
    <row r="122" spans="1:16" ht="13.95" customHeight="1" x14ac:dyDescent="0.25">
      <c r="A122" s="2" t="s">
        <v>0</v>
      </c>
      <c r="B122" t="s">
        <v>1</v>
      </c>
      <c r="C122" s="3">
        <v>46276</v>
      </c>
      <c r="D122" t="s">
        <v>2</v>
      </c>
      <c r="E122" t="s">
        <v>0</v>
      </c>
      <c r="F122" s="5">
        <v>122226</v>
      </c>
      <c r="G122" s="5" t="str">
        <f>VLOOKUP(F122,'[1]46974159BCSET2026'!$F:$AE,26,0)</f>
        <v>Sim</v>
      </c>
      <c r="H122" t="s">
        <v>3</v>
      </c>
      <c r="I122" s="3">
        <v>46276</v>
      </c>
      <c r="J122" t="s">
        <v>4</v>
      </c>
      <c r="K122" t="s">
        <v>183</v>
      </c>
      <c r="L122" t="s">
        <v>184</v>
      </c>
      <c r="M122" s="8">
        <v>-4465.29</v>
      </c>
      <c r="N122" t="s">
        <v>0</v>
      </c>
      <c r="O122" t="s">
        <v>7</v>
      </c>
      <c r="P122" t="s">
        <v>8</v>
      </c>
    </row>
    <row r="123" spans="1:16" ht="13.95" customHeight="1" x14ac:dyDescent="0.25">
      <c r="A123" s="2" t="s">
        <v>0</v>
      </c>
      <c r="B123" t="s">
        <v>1</v>
      </c>
      <c r="C123" s="3">
        <v>46276</v>
      </c>
      <c r="D123" t="s">
        <v>2</v>
      </c>
      <c r="E123" t="s">
        <v>0</v>
      </c>
      <c r="F123" s="5">
        <v>122738</v>
      </c>
      <c r="G123" s="5" t="str">
        <f>VLOOKUP(F123,'[1]46974159BCSET2026'!$F:$AE,26,0)</f>
        <v>Sim</v>
      </c>
      <c r="H123" t="s">
        <v>3</v>
      </c>
      <c r="I123" s="3">
        <v>46276</v>
      </c>
      <c r="J123" t="s">
        <v>4</v>
      </c>
      <c r="K123" t="s">
        <v>185</v>
      </c>
      <c r="L123" t="s">
        <v>186</v>
      </c>
      <c r="M123" s="8">
        <v>-4455.0200000000004</v>
      </c>
      <c r="N123" t="s">
        <v>0</v>
      </c>
      <c r="O123" t="s">
        <v>7</v>
      </c>
      <c r="P123" t="s">
        <v>8</v>
      </c>
    </row>
    <row r="124" spans="1:16" ht="13.95" customHeight="1" x14ac:dyDescent="0.25">
      <c r="A124" s="2" t="s">
        <v>0</v>
      </c>
      <c r="B124" t="s">
        <v>1</v>
      </c>
      <c r="C124" s="3">
        <v>46276</v>
      </c>
      <c r="D124" t="s">
        <v>2</v>
      </c>
      <c r="E124" t="s">
        <v>0</v>
      </c>
      <c r="F124" s="5">
        <v>122197</v>
      </c>
      <c r="G124" s="5" t="str">
        <f>VLOOKUP(F124,'[1]46974159BCSET2026'!$F:$AE,26,0)</f>
        <v>Sim</v>
      </c>
      <c r="H124" t="s">
        <v>3</v>
      </c>
      <c r="I124" s="3">
        <v>46276</v>
      </c>
      <c r="J124" t="s">
        <v>4</v>
      </c>
      <c r="K124" t="s">
        <v>187</v>
      </c>
      <c r="L124" t="s">
        <v>188</v>
      </c>
      <c r="M124" s="8">
        <v>-4454.6899999999996</v>
      </c>
      <c r="N124" t="s">
        <v>0</v>
      </c>
      <c r="O124" t="s">
        <v>7</v>
      </c>
      <c r="P124" t="s">
        <v>8</v>
      </c>
    </row>
    <row r="125" spans="1:16" ht="13.95" customHeight="1" x14ac:dyDescent="0.25">
      <c r="A125" s="2" t="s">
        <v>0</v>
      </c>
      <c r="B125" t="s">
        <v>1</v>
      </c>
      <c r="C125" s="3">
        <v>46276</v>
      </c>
      <c r="D125" t="s">
        <v>2</v>
      </c>
      <c r="E125" t="s">
        <v>0</v>
      </c>
      <c r="F125" s="5">
        <v>122206</v>
      </c>
      <c r="G125" s="5" t="str">
        <f>VLOOKUP(F125,'[1]46974159BCSET2026'!$F:$AE,26,0)</f>
        <v>Sim</v>
      </c>
      <c r="H125" t="s">
        <v>3</v>
      </c>
      <c r="I125" s="3">
        <v>46276</v>
      </c>
      <c r="J125" t="s">
        <v>4</v>
      </c>
      <c r="K125" t="s">
        <v>189</v>
      </c>
      <c r="L125" t="s">
        <v>190</v>
      </c>
      <c r="M125" s="8">
        <v>-4438.45</v>
      </c>
      <c r="N125" t="s">
        <v>0</v>
      </c>
      <c r="O125" t="s">
        <v>7</v>
      </c>
      <c r="P125" t="s">
        <v>8</v>
      </c>
    </row>
    <row r="126" spans="1:16" ht="13.95" customHeight="1" x14ac:dyDescent="0.25">
      <c r="A126" s="2" t="s">
        <v>0</v>
      </c>
      <c r="B126" t="s">
        <v>1</v>
      </c>
      <c r="C126" s="3">
        <v>46276</v>
      </c>
      <c r="D126" t="s">
        <v>2</v>
      </c>
      <c r="E126" t="s">
        <v>0</v>
      </c>
      <c r="F126" s="5">
        <v>122257</v>
      </c>
      <c r="G126" s="5" t="str">
        <f>VLOOKUP(F126,'[1]46974159BCSET2026'!$F:$AE,26,0)</f>
        <v>Sim</v>
      </c>
      <c r="H126" t="s">
        <v>3</v>
      </c>
      <c r="I126" s="3">
        <v>46276</v>
      </c>
      <c r="J126" t="s">
        <v>4</v>
      </c>
      <c r="K126" t="s">
        <v>191</v>
      </c>
      <c r="L126" t="s">
        <v>192</v>
      </c>
      <c r="M126" s="8">
        <v>-4427.6400000000003</v>
      </c>
      <c r="N126" t="s">
        <v>0</v>
      </c>
      <c r="O126" t="s">
        <v>7</v>
      </c>
      <c r="P126" t="s">
        <v>8</v>
      </c>
    </row>
    <row r="127" spans="1:16" ht="13.95" customHeight="1" x14ac:dyDescent="0.25">
      <c r="A127" s="2" t="s">
        <v>0</v>
      </c>
      <c r="B127" t="s">
        <v>1</v>
      </c>
      <c r="C127" s="3">
        <v>46276</v>
      </c>
      <c r="D127" t="s">
        <v>2</v>
      </c>
      <c r="E127" t="s">
        <v>0</v>
      </c>
      <c r="F127" s="5">
        <v>122208</v>
      </c>
      <c r="G127" s="5" t="str">
        <f>VLOOKUP(F127,'[1]46974159BCSET2026'!$F:$AE,26,0)</f>
        <v>Sim</v>
      </c>
      <c r="H127" t="s">
        <v>3</v>
      </c>
      <c r="I127" s="3">
        <v>46276</v>
      </c>
      <c r="J127" t="s">
        <v>4</v>
      </c>
      <c r="K127" t="s">
        <v>135</v>
      </c>
      <c r="L127" t="s">
        <v>136</v>
      </c>
      <c r="M127" s="8">
        <v>-4406.22</v>
      </c>
      <c r="N127" t="s">
        <v>0</v>
      </c>
      <c r="O127" t="s">
        <v>7</v>
      </c>
      <c r="P127" t="s">
        <v>8</v>
      </c>
    </row>
    <row r="128" spans="1:16" ht="13.95" customHeight="1" x14ac:dyDescent="0.25">
      <c r="A128" s="2" t="s">
        <v>0</v>
      </c>
      <c r="B128" t="s">
        <v>1</v>
      </c>
      <c r="C128" s="3">
        <v>46276</v>
      </c>
      <c r="D128" t="s">
        <v>2</v>
      </c>
      <c r="E128" t="s">
        <v>0</v>
      </c>
      <c r="F128" s="5">
        <v>122724</v>
      </c>
      <c r="G128" s="5" t="str">
        <f>VLOOKUP(F128,'[1]46974159BCSET2026'!$F:$AE,26,0)</f>
        <v>Sim</v>
      </c>
      <c r="H128" t="s">
        <v>3</v>
      </c>
      <c r="I128" s="3">
        <v>46276</v>
      </c>
      <c r="J128" t="s">
        <v>4</v>
      </c>
      <c r="K128" t="s">
        <v>193</v>
      </c>
      <c r="L128" t="s">
        <v>194</v>
      </c>
      <c r="M128" s="8">
        <v>-4404.54</v>
      </c>
      <c r="N128" t="s">
        <v>0</v>
      </c>
      <c r="O128" t="s">
        <v>7</v>
      </c>
      <c r="P128" t="s">
        <v>8</v>
      </c>
    </row>
    <row r="129" spans="1:16" ht="13.95" customHeight="1" x14ac:dyDescent="0.25">
      <c r="A129" s="2" t="s">
        <v>0</v>
      </c>
      <c r="B129" t="s">
        <v>1</v>
      </c>
      <c r="C129" s="3">
        <v>46276</v>
      </c>
      <c r="D129" t="s">
        <v>2</v>
      </c>
      <c r="E129" t="s">
        <v>0</v>
      </c>
      <c r="F129" s="5">
        <v>122208</v>
      </c>
      <c r="G129" s="5" t="str">
        <f>VLOOKUP(F129,'[1]46974159BCSET2026'!$F:$AE,26,0)</f>
        <v>Sim</v>
      </c>
      <c r="H129" t="s">
        <v>3</v>
      </c>
      <c r="I129" s="3">
        <v>46276</v>
      </c>
      <c r="J129" t="s">
        <v>4</v>
      </c>
      <c r="K129" t="s">
        <v>135</v>
      </c>
      <c r="L129" t="s">
        <v>136</v>
      </c>
      <c r="M129" s="8">
        <v>-4403.2700000000004</v>
      </c>
      <c r="N129" t="s">
        <v>0</v>
      </c>
      <c r="O129" t="s">
        <v>7</v>
      </c>
      <c r="P129" t="s">
        <v>8</v>
      </c>
    </row>
    <row r="130" spans="1:16" ht="13.95" customHeight="1" x14ac:dyDescent="0.25">
      <c r="A130" s="2" t="s">
        <v>0</v>
      </c>
      <c r="B130" t="s">
        <v>1</v>
      </c>
      <c r="C130" s="3">
        <v>46276</v>
      </c>
      <c r="D130" t="s">
        <v>2</v>
      </c>
      <c r="E130" t="s">
        <v>0</v>
      </c>
      <c r="F130" s="5">
        <v>122669</v>
      </c>
      <c r="G130" s="5" t="str">
        <f>VLOOKUP(F130,'[1]46974159BCSET2026'!$F:$AE,26,0)</f>
        <v>Sim</v>
      </c>
      <c r="H130" t="s">
        <v>3</v>
      </c>
      <c r="I130" s="3">
        <v>46276</v>
      </c>
      <c r="J130" t="s">
        <v>4</v>
      </c>
      <c r="K130" t="s">
        <v>195</v>
      </c>
      <c r="L130" t="s">
        <v>196</v>
      </c>
      <c r="M130" s="8">
        <v>-4348.37</v>
      </c>
      <c r="N130" t="s">
        <v>0</v>
      </c>
      <c r="O130" t="s">
        <v>7</v>
      </c>
      <c r="P130" t="s">
        <v>8</v>
      </c>
    </row>
    <row r="131" spans="1:16" ht="13.95" customHeight="1" x14ac:dyDescent="0.25">
      <c r="A131" s="2" t="s">
        <v>0</v>
      </c>
      <c r="B131" t="s">
        <v>1</v>
      </c>
      <c r="C131" s="3">
        <v>46276</v>
      </c>
      <c r="D131" t="s">
        <v>2</v>
      </c>
      <c r="E131" t="s">
        <v>0</v>
      </c>
      <c r="F131" s="5">
        <v>122770</v>
      </c>
      <c r="G131" s="5" t="str">
        <f>VLOOKUP(F131,'[1]46974159BCSET2026'!$F:$AE,26,0)</f>
        <v>Sim</v>
      </c>
      <c r="H131" t="s">
        <v>3</v>
      </c>
      <c r="I131" s="3">
        <v>46276</v>
      </c>
      <c r="J131" t="s">
        <v>4</v>
      </c>
      <c r="K131" t="s">
        <v>197</v>
      </c>
      <c r="L131" t="s">
        <v>198</v>
      </c>
      <c r="M131" s="8">
        <v>-4347.26</v>
      </c>
      <c r="N131" t="s">
        <v>0</v>
      </c>
      <c r="O131" t="s">
        <v>7</v>
      </c>
      <c r="P131" t="s">
        <v>8</v>
      </c>
    </row>
    <row r="132" spans="1:16" ht="13.95" customHeight="1" x14ac:dyDescent="0.25">
      <c r="A132" s="2" t="s">
        <v>0</v>
      </c>
      <c r="B132" t="s">
        <v>1</v>
      </c>
      <c r="C132" s="3">
        <v>46276</v>
      </c>
      <c r="D132" t="s">
        <v>2</v>
      </c>
      <c r="E132" t="s">
        <v>0</v>
      </c>
      <c r="F132" s="5">
        <v>122221</v>
      </c>
      <c r="G132" s="5" t="str">
        <f>VLOOKUP(F132,'[1]46974159BCSET2026'!$F:$AE,26,0)</f>
        <v>Sim</v>
      </c>
      <c r="H132" t="s">
        <v>3</v>
      </c>
      <c r="I132" s="3">
        <v>46276</v>
      </c>
      <c r="J132" t="s">
        <v>4</v>
      </c>
      <c r="K132" t="s">
        <v>62</v>
      </c>
      <c r="L132" t="s">
        <v>63</v>
      </c>
      <c r="M132" s="8">
        <v>-4345.63</v>
      </c>
      <c r="N132" t="s">
        <v>0</v>
      </c>
      <c r="O132" t="s">
        <v>7</v>
      </c>
      <c r="P132" t="s">
        <v>8</v>
      </c>
    </row>
    <row r="133" spans="1:16" ht="13.95" customHeight="1" x14ac:dyDescent="0.25">
      <c r="A133" s="2" t="s">
        <v>0</v>
      </c>
      <c r="B133" t="s">
        <v>1</v>
      </c>
      <c r="C133" s="3">
        <v>46276</v>
      </c>
      <c r="D133" t="s">
        <v>2</v>
      </c>
      <c r="E133" t="s">
        <v>0</v>
      </c>
      <c r="F133" s="5">
        <v>122539</v>
      </c>
      <c r="G133" s="5" t="str">
        <f>VLOOKUP(F133,'[1]46974159BCSET2026'!$F:$AE,26,0)</f>
        <v>Sim</v>
      </c>
      <c r="H133" t="s">
        <v>3</v>
      </c>
      <c r="I133" s="3">
        <v>46276</v>
      </c>
      <c r="J133" t="s">
        <v>4</v>
      </c>
      <c r="K133" t="s">
        <v>199</v>
      </c>
      <c r="L133" t="s">
        <v>200</v>
      </c>
      <c r="M133" s="8">
        <v>-4336.74</v>
      </c>
      <c r="N133" t="s">
        <v>0</v>
      </c>
      <c r="O133" t="s">
        <v>7</v>
      </c>
      <c r="P133" t="s">
        <v>8</v>
      </c>
    </row>
    <row r="134" spans="1:16" ht="13.95" customHeight="1" x14ac:dyDescent="0.25">
      <c r="A134" s="2" t="s">
        <v>0</v>
      </c>
      <c r="B134" t="s">
        <v>1</v>
      </c>
      <c r="C134" s="3">
        <v>46276</v>
      </c>
      <c r="D134" t="s">
        <v>2</v>
      </c>
      <c r="E134" t="s">
        <v>0</v>
      </c>
      <c r="F134" s="5">
        <v>122263</v>
      </c>
      <c r="G134" s="5" t="str">
        <f>VLOOKUP(F134,'[1]46974159BCSET2026'!$F:$AE,26,0)</f>
        <v>Sim</v>
      </c>
      <c r="H134" t="s">
        <v>3</v>
      </c>
      <c r="I134" s="3">
        <v>46276</v>
      </c>
      <c r="J134" t="s">
        <v>4</v>
      </c>
      <c r="K134" t="s">
        <v>201</v>
      </c>
      <c r="L134" t="s">
        <v>202</v>
      </c>
      <c r="M134" s="8">
        <v>-4285.7</v>
      </c>
      <c r="N134" t="s">
        <v>0</v>
      </c>
      <c r="O134" t="s">
        <v>7</v>
      </c>
      <c r="P134" t="s">
        <v>8</v>
      </c>
    </row>
    <row r="135" spans="1:16" ht="13.95" customHeight="1" x14ac:dyDescent="0.25">
      <c r="A135" s="2" t="s">
        <v>0</v>
      </c>
      <c r="B135" t="s">
        <v>1</v>
      </c>
      <c r="C135" s="3">
        <v>46276</v>
      </c>
      <c r="D135" t="s">
        <v>2</v>
      </c>
      <c r="E135" t="s">
        <v>0</v>
      </c>
      <c r="F135" s="5">
        <v>122236</v>
      </c>
      <c r="G135" s="5" t="str">
        <f>VLOOKUP(F135,'[1]46974159BCSET2026'!$F:$AE,26,0)</f>
        <v>Sim</v>
      </c>
      <c r="H135" t="s">
        <v>3</v>
      </c>
      <c r="I135" s="3">
        <v>46276</v>
      </c>
      <c r="J135" t="s">
        <v>4</v>
      </c>
      <c r="K135" t="s">
        <v>203</v>
      </c>
      <c r="L135" t="s">
        <v>204</v>
      </c>
      <c r="M135" s="8">
        <v>-4284.6899999999996</v>
      </c>
      <c r="N135" t="s">
        <v>0</v>
      </c>
      <c r="O135" t="s">
        <v>7</v>
      </c>
      <c r="P135" t="s">
        <v>8</v>
      </c>
    </row>
    <row r="136" spans="1:16" ht="13.95" customHeight="1" x14ac:dyDescent="0.25">
      <c r="A136" s="2" t="s">
        <v>0</v>
      </c>
      <c r="B136" t="s">
        <v>1</v>
      </c>
      <c r="C136" s="3">
        <v>46276</v>
      </c>
      <c r="D136" t="s">
        <v>2</v>
      </c>
      <c r="E136" t="s">
        <v>0</v>
      </c>
      <c r="F136" s="5">
        <v>122508</v>
      </c>
      <c r="G136" s="5" t="str">
        <f>VLOOKUP(F136,'[1]46974159BCSET2026'!$F:$AE,26,0)</f>
        <v>Sim</v>
      </c>
      <c r="H136" t="s">
        <v>3</v>
      </c>
      <c r="I136" s="3">
        <v>46276</v>
      </c>
      <c r="J136" t="s">
        <v>4</v>
      </c>
      <c r="K136" t="s">
        <v>205</v>
      </c>
      <c r="L136" t="s">
        <v>206</v>
      </c>
      <c r="M136" s="8">
        <v>-4284.6899999999996</v>
      </c>
      <c r="N136" t="s">
        <v>0</v>
      </c>
      <c r="O136" t="s">
        <v>7</v>
      </c>
      <c r="P136" t="s">
        <v>8</v>
      </c>
    </row>
    <row r="137" spans="1:16" ht="13.95" customHeight="1" x14ac:dyDescent="0.25">
      <c r="A137" s="2" t="s">
        <v>0</v>
      </c>
      <c r="B137" t="s">
        <v>1</v>
      </c>
      <c r="C137" s="3">
        <v>46276</v>
      </c>
      <c r="D137" t="s">
        <v>2</v>
      </c>
      <c r="E137" t="s">
        <v>0</v>
      </c>
      <c r="F137" s="5">
        <v>122537</v>
      </c>
      <c r="G137" s="5" t="str">
        <f>VLOOKUP(F137,'[1]46974159BCSET2026'!$F:$AE,26,0)</f>
        <v>Sim</v>
      </c>
      <c r="H137" t="s">
        <v>3</v>
      </c>
      <c r="I137" s="3">
        <v>46276</v>
      </c>
      <c r="J137" t="s">
        <v>4</v>
      </c>
      <c r="K137" t="s">
        <v>207</v>
      </c>
      <c r="L137" t="s">
        <v>208</v>
      </c>
      <c r="M137" s="8">
        <v>-4284.6899999999996</v>
      </c>
      <c r="N137" t="s">
        <v>0</v>
      </c>
      <c r="O137" t="s">
        <v>7</v>
      </c>
      <c r="P137" t="s">
        <v>8</v>
      </c>
    </row>
    <row r="138" spans="1:16" ht="13.95" customHeight="1" x14ac:dyDescent="0.25">
      <c r="A138" s="2" t="s">
        <v>0</v>
      </c>
      <c r="B138" t="s">
        <v>1</v>
      </c>
      <c r="C138" s="3">
        <v>46276</v>
      </c>
      <c r="D138" t="s">
        <v>2</v>
      </c>
      <c r="E138" t="s">
        <v>0</v>
      </c>
      <c r="F138" s="5">
        <v>122425</v>
      </c>
      <c r="G138" s="5" t="str">
        <f>VLOOKUP(F138,'[1]46974159BCSET2026'!$F:$AE,26,0)</f>
        <v>Sim</v>
      </c>
      <c r="H138" t="s">
        <v>3</v>
      </c>
      <c r="I138" s="3">
        <v>46276</v>
      </c>
      <c r="J138" t="s">
        <v>4</v>
      </c>
      <c r="K138" t="s">
        <v>209</v>
      </c>
      <c r="L138" t="s">
        <v>210</v>
      </c>
      <c r="M138" s="8">
        <v>-4284.6899999999996</v>
      </c>
      <c r="N138" t="s">
        <v>0</v>
      </c>
      <c r="O138" t="s">
        <v>7</v>
      </c>
      <c r="P138" t="s">
        <v>8</v>
      </c>
    </row>
    <row r="139" spans="1:16" ht="13.95" customHeight="1" x14ac:dyDescent="0.25">
      <c r="A139" s="2" t="s">
        <v>0</v>
      </c>
      <c r="B139" t="s">
        <v>1</v>
      </c>
      <c r="C139" s="3">
        <v>46276</v>
      </c>
      <c r="D139" t="s">
        <v>2</v>
      </c>
      <c r="E139" t="s">
        <v>0</v>
      </c>
      <c r="F139" s="5">
        <v>122656</v>
      </c>
      <c r="G139" s="5" t="str">
        <f>VLOOKUP(F139,'[1]46974159BCSET2026'!$F:$AE,26,0)</f>
        <v>Sim</v>
      </c>
      <c r="H139" t="s">
        <v>3</v>
      </c>
      <c r="I139" s="3">
        <v>46276</v>
      </c>
      <c r="J139" t="s">
        <v>4</v>
      </c>
      <c r="K139" t="s">
        <v>211</v>
      </c>
      <c r="L139" t="s">
        <v>212</v>
      </c>
      <c r="M139" s="8">
        <v>-4281.5</v>
      </c>
      <c r="N139" t="s">
        <v>0</v>
      </c>
      <c r="O139" t="s">
        <v>7</v>
      </c>
      <c r="P139" t="s">
        <v>8</v>
      </c>
    </row>
    <row r="140" spans="1:16" ht="13.95" customHeight="1" x14ac:dyDescent="0.25">
      <c r="A140" s="2" t="s">
        <v>0</v>
      </c>
      <c r="B140" t="s">
        <v>1</v>
      </c>
      <c r="C140" s="3">
        <v>46276</v>
      </c>
      <c r="D140" t="s">
        <v>2</v>
      </c>
      <c r="E140" t="s">
        <v>0</v>
      </c>
      <c r="F140" s="5">
        <v>122203</v>
      </c>
      <c r="G140" s="5" t="str">
        <f>VLOOKUP(F140,'[1]46974159BCSET2026'!$F:$AE,26,0)</f>
        <v>Sim</v>
      </c>
      <c r="H140" t="s">
        <v>3</v>
      </c>
      <c r="I140" s="3">
        <v>46276</v>
      </c>
      <c r="J140" t="s">
        <v>4</v>
      </c>
      <c r="K140" t="s">
        <v>24</v>
      </c>
      <c r="L140" t="s">
        <v>25</v>
      </c>
      <c r="M140" s="8">
        <v>-4256.9399999999996</v>
      </c>
      <c r="N140" t="s">
        <v>0</v>
      </c>
      <c r="O140" t="s">
        <v>7</v>
      </c>
      <c r="P140" t="s">
        <v>8</v>
      </c>
    </row>
    <row r="141" spans="1:16" ht="13.95" customHeight="1" x14ac:dyDescent="0.25">
      <c r="A141" s="2" t="s">
        <v>0</v>
      </c>
      <c r="B141" t="s">
        <v>1</v>
      </c>
      <c r="C141" s="3">
        <v>46276</v>
      </c>
      <c r="D141" t="s">
        <v>2</v>
      </c>
      <c r="E141" t="s">
        <v>0</v>
      </c>
      <c r="F141" s="5">
        <v>122215</v>
      </c>
      <c r="G141" s="5" t="str">
        <f>VLOOKUP(F141,'[1]46974159BCSET2026'!$F:$AE,26,0)</f>
        <v>Sim</v>
      </c>
      <c r="H141" t="s">
        <v>3</v>
      </c>
      <c r="I141" s="3">
        <v>46276</v>
      </c>
      <c r="J141" t="s">
        <v>4</v>
      </c>
      <c r="K141" t="s">
        <v>213</v>
      </c>
      <c r="L141" t="s">
        <v>214</v>
      </c>
      <c r="M141" s="8">
        <v>-4247.42</v>
      </c>
      <c r="N141" t="s">
        <v>0</v>
      </c>
      <c r="O141" t="s">
        <v>7</v>
      </c>
      <c r="P141" t="s">
        <v>8</v>
      </c>
    </row>
    <row r="142" spans="1:16" ht="13.95" customHeight="1" x14ac:dyDescent="0.25">
      <c r="A142" s="2" t="s">
        <v>0</v>
      </c>
      <c r="B142" t="s">
        <v>1</v>
      </c>
      <c r="C142" s="3">
        <v>46276</v>
      </c>
      <c r="D142" t="s">
        <v>2</v>
      </c>
      <c r="E142" t="s">
        <v>0</v>
      </c>
      <c r="F142" s="5">
        <v>122497</v>
      </c>
      <c r="G142" s="5" t="str">
        <f>VLOOKUP(F142,'[1]46974159BCSET2026'!$F:$AE,26,0)</f>
        <v>Sim</v>
      </c>
      <c r="H142" t="s">
        <v>3</v>
      </c>
      <c r="I142" s="3">
        <v>46276</v>
      </c>
      <c r="J142" t="s">
        <v>4</v>
      </c>
      <c r="K142" t="s">
        <v>131</v>
      </c>
      <c r="L142" t="s">
        <v>132</v>
      </c>
      <c r="M142" s="8">
        <v>-4217.12</v>
      </c>
      <c r="N142" t="s">
        <v>0</v>
      </c>
      <c r="O142" t="s">
        <v>7</v>
      </c>
      <c r="P142" t="s">
        <v>8</v>
      </c>
    </row>
    <row r="143" spans="1:16" ht="13.95" customHeight="1" x14ac:dyDescent="0.25">
      <c r="A143" s="2" t="s">
        <v>0</v>
      </c>
      <c r="B143" t="s">
        <v>1</v>
      </c>
      <c r="C143" s="3">
        <v>46276</v>
      </c>
      <c r="D143" t="s">
        <v>2</v>
      </c>
      <c r="E143" t="s">
        <v>0</v>
      </c>
      <c r="F143" s="5">
        <v>122274</v>
      </c>
      <c r="G143" s="5" t="str">
        <f>VLOOKUP(F143,'[1]46974159BCSET2026'!$F:$AE,26,0)</f>
        <v>Sim</v>
      </c>
      <c r="H143" t="s">
        <v>3</v>
      </c>
      <c r="I143" s="3">
        <v>46276</v>
      </c>
      <c r="J143" t="s">
        <v>4</v>
      </c>
      <c r="K143" t="s">
        <v>215</v>
      </c>
      <c r="L143" t="s">
        <v>216</v>
      </c>
      <c r="M143" s="8">
        <v>-4215.3100000000004</v>
      </c>
      <c r="N143" t="s">
        <v>0</v>
      </c>
      <c r="O143" t="s">
        <v>7</v>
      </c>
      <c r="P143" t="s">
        <v>8</v>
      </c>
    </row>
    <row r="144" spans="1:16" ht="13.95" customHeight="1" x14ac:dyDescent="0.25">
      <c r="A144" s="2" t="s">
        <v>0</v>
      </c>
      <c r="B144" t="s">
        <v>1</v>
      </c>
      <c r="C144" s="3">
        <v>46276</v>
      </c>
      <c r="D144" t="s">
        <v>2</v>
      </c>
      <c r="E144" t="s">
        <v>0</v>
      </c>
      <c r="F144" s="5">
        <v>122195</v>
      </c>
      <c r="G144" s="5" t="str">
        <f>VLOOKUP(F144,'[1]46974159BCSET2026'!$F:$AE,26,0)</f>
        <v>Sim</v>
      </c>
      <c r="H144" t="s">
        <v>3</v>
      </c>
      <c r="I144" s="3">
        <v>46276</v>
      </c>
      <c r="J144" t="s">
        <v>4</v>
      </c>
      <c r="K144" t="s">
        <v>217</v>
      </c>
      <c r="L144" t="s">
        <v>218</v>
      </c>
      <c r="M144" s="8">
        <v>-4191.01</v>
      </c>
      <c r="N144" t="s">
        <v>0</v>
      </c>
      <c r="O144" t="s">
        <v>7</v>
      </c>
      <c r="P144" t="s">
        <v>8</v>
      </c>
    </row>
    <row r="145" spans="1:16" ht="13.95" customHeight="1" x14ac:dyDescent="0.25">
      <c r="A145" s="2" t="s">
        <v>0</v>
      </c>
      <c r="B145" t="s">
        <v>1</v>
      </c>
      <c r="C145" s="3">
        <v>46276</v>
      </c>
      <c r="D145" t="s">
        <v>2</v>
      </c>
      <c r="E145" t="s">
        <v>0</v>
      </c>
      <c r="F145" s="5">
        <v>122410</v>
      </c>
      <c r="G145" s="5" t="str">
        <f>VLOOKUP(F145,'[1]46974159BCSET2026'!$F:$AE,26,0)</f>
        <v>Sim</v>
      </c>
      <c r="H145" t="s">
        <v>3</v>
      </c>
      <c r="I145" s="3">
        <v>46276</v>
      </c>
      <c r="J145" t="s">
        <v>4</v>
      </c>
      <c r="K145" t="s">
        <v>219</v>
      </c>
      <c r="L145" t="s">
        <v>220</v>
      </c>
      <c r="M145" s="8">
        <v>-4183.67</v>
      </c>
      <c r="N145" t="s">
        <v>0</v>
      </c>
      <c r="O145" t="s">
        <v>7</v>
      </c>
      <c r="P145" t="s">
        <v>8</v>
      </c>
    </row>
    <row r="146" spans="1:16" ht="13.95" customHeight="1" x14ac:dyDescent="0.25">
      <c r="A146" s="2" t="s">
        <v>0</v>
      </c>
      <c r="B146" t="s">
        <v>1</v>
      </c>
      <c r="C146" s="3">
        <v>46276</v>
      </c>
      <c r="D146" t="s">
        <v>2</v>
      </c>
      <c r="E146" t="s">
        <v>0</v>
      </c>
      <c r="F146" s="5">
        <v>122210</v>
      </c>
      <c r="G146" s="5" t="str">
        <f>VLOOKUP(F146,'[1]46974159BCSET2026'!$F:$AE,26,0)</f>
        <v>Sim</v>
      </c>
      <c r="H146" t="s">
        <v>3</v>
      </c>
      <c r="I146" s="3">
        <v>46276</v>
      </c>
      <c r="J146" t="s">
        <v>4</v>
      </c>
      <c r="K146" t="s">
        <v>221</v>
      </c>
      <c r="L146" t="s">
        <v>222</v>
      </c>
      <c r="M146" s="8">
        <v>-4162.22</v>
      </c>
      <c r="N146" t="s">
        <v>0</v>
      </c>
      <c r="O146" t="s">
        <v>7</v>
      </c>
      <c r="P146" t="s">
        <v>8</v>
      </c>
    </row>
    <row r="147" spans="1:16" ht="13.95" customHeight="1" x14ac:dyDescent="0.25">
      <c r="A147" s="2" t="s">
        <v>0</v>
      </c>
      <c r="B147" t="s">
        <v>1</v>
      </c>
      <c r="C147" s="3">
        <v>46276</v>
      </c>
      <c r="D147" t="s">
        <v>2</v>
      </c>
      <c r="E147" t="s">
        <v>0</v>
      </c>
      <c r="F147" s="5">
        <v>122194</v>
      </c>
      <c r="G147" s="5" t="str">
        <f>VLOOKUP(F147,'[1]46974159BCSET2026'!$F:$AE,26,0)</f>
        <v>Sim</v>
      </c>
      <c r="H147" t="s">
        <v>3</v>
      </c>
      <c r="I147" s="3">
        <v>46276</v>
      </c>
      <c r="J147" t="s">
        <v>4</v>
      </c>
      <c r="K147" t="s">
        <v>223</v>
      </c>
      <c r="L147" t="s">
        <v>224</v>
      </c>
      <c r="M147" s="8">
        <v>-4146.95</v>
      </c>
      <c r="N147" t="s">
        <v>0</v>
      </c>
      <c r="O147" t="s">
        <v>7</v>
      </c>
      <c r="P147" t="s">
        <v>8</v>
      </c>
    </row>
    <row r="148" spans="1:16" ht="13.95" customHeight="1" x14ac:dyDescent="0.25">
      <c r="A148" s="2" t="s">
        <v>0</v>
      </c>
      <c r="B148" t="s">
        <v>1</v>
      </c>
      <c r="C148" s="3">
        <v>46276</v>
      </c>
      <c r="D148" t="s">
        <v>2</v>
      </c>
      <c r="E148" t="s">
        <v>0</v>
      </c>
      <c r="F148" s="5">
        <v>122190</v>
      </c>
      <c r="G148" s="5" t="str">
        <f>VLOOKUP(F148,'[1]46974159BCSET2026'!$F:$AE,26,0)</f>
        <v>Sim</v>
      </c>
      <c r="H148" t="s">
        <v>3</v>
      </c>
      <c r="I148" s="3">
        <v>46276</v>
      </c>
      <c r="J148" t="s">
        <v>4</v>
      </c>
      <c r="K148" t="s">
        <v>38</v>
      </c>
      <c r="L148" t="s">
        <v>39</v>
      </c>
      <c r="M148" s="8">
        <v>-4132.67</v>
      </c>
      <c r="N148" t="s">
        <v>0</v>
      </c>
      <c r="O148" t="s">
        <v>7</v>
      </c>
      <c r="P148" t="s">
        <v>8</v>
      </c>
    </row>
    <row r="149" spans="1:16" ht="13.95" customHeight="1" x14ac:dyDescent="0.25">
      <c r="A149" s="2" t="s">
        <v>0</v>
      </c>
      <c r="B149" t="s">
        <v>1</v>
      </c>
      <c r="C149" s="3">
        <v>46276</v>
      </c>
      <c r="D149" t="s">
        <v>2</v>
      </c>
      <c r="E149" t="s">
        <v>0</v>
      </c>
      <c r="F149" s="5">
        <v>122253</v>
      </c>
      <c r="G149" s="5" t="str">
        <f>VLOOKUP(F149,'[1]46974159BCSET2026'!$F:$AE,26,0)</f>
        <v>Sim</v>
      </c>
      <c r="H149" t="s">
        <v>3</v>
      </c>
      <c r="I149" s="3">
        <v>46276</v>
      </c>
      <c r="J149" t="s">
        <v>4</v>
      </c>
      <c r="K149" t="s">
        <v>87</v>
      </c>
      <c r="L149" t="s">
        <v>88</v>
      </c>
      <c r="M149" s="8">
        <v>-4081.63</v>
      </c>
      <c r="N149" t="s">
        <v>0</v>
      </c>
      <c r="O149" t="s">
        <v>7</v>
      </c>
      <c r="P149" t="s">
        <v>8</v>
      </c>
    </row>
    <row r="150" spans="1:16" ht="13.95" customHeight="1" x14ac:dyDescent="0.25">
      <c r="A150" s="2" t="s">
        <v>0</v>
      </c>
      <c r="B150" t="s">
        <v>1</v>
      </c>
      <c r="C150" s="3">
        <v>46276</v>
      </c>
      <c r="D150" t="s">
        <v>2</v>
      </c>
      <c r="E150" t="s">
        <v>0</v>
      </c>
      <c r="F150" s="5">
        <v>122434</v>
      </c>
      <c r="G150" s="5" t="str">
        <f>VLOOKUP(F150,'[1]46974159BCSET2026'!$F:$AE,26,0)</f>
        <v>Sim</v>
      </c>
      <c r="H150" t="s">
        <v>3</v>
      </c>
      <c r="I150" s="3">
        <v>46276</v>
      </c>
      <c r="J150" t="s">
        <v>4</v>
      </c>
      <c r="K150" t="s">
        <v>225</v>
      </c>
      <c r="L150" t="s">
        <v>226</v>
      </c>
      <c r="M150" s="8">
        <v>-4081.63</v>
      </c>
      <c r="N150" t="s">
        <v>0</v>
      </c>
      <c r="O150" t="s">
        <v>7</v>
      </c>
      <c r="P150" t="s">
        <v>8</v>
      </c>
    </row>
    <row r="151" spans="1:16" ht="13.95" customHeight="1" x14ac:dyDescent="0.25">
      <c r="A151" s="2" t="s">
        <v>0</v>
      </c>
      <c r="B151" t="s">
        <v>1</v>
      </c>
      <c r="C151" s="3">
        <v>46276</v>
      </c>
      <c r="D151" t="s">
        <v>2</v>
      </c>
      <c r="E151" t="s">
        <v>0</v>
      </c>
      <c r="F151" s="5">
        <v>122485</v>
      </c>
      <c r="G151" s="5" t="str">
        <f>VLOOKUP(F151,'[1]46974159BCSET2026'!$F:$AE,26,0)</f>
        <v>Sim</v>
      </c>
      <c r="H151" t="s">
        <v>3</v>
      </c>
      <c r="I151" s="3">
        <v>46276</v>
      </c>
      <c r="J151" t="s">
        <v>4</v>
      </c>
      <c r="K151" t="s">
        <v>227</v>
      </c>
      <c r="L151" t="s">
        <v>228</v>
      </c>
      <c r="M151" s="8">
        <v>-4081.63</v>
      </c>
      <c r="N151" t="s">
        <v>0</v>
      </c>
      <c r="O151" t="s">
        <v>7</v>
      </c>
      <c r="P151" t="s">
        <v>8</v>
      </c>
    </row>
    <row r="152" spans="1:16" ht="13.95" customHeight="1" x14ac:dyDescent="0.25">
      <c r="A152" s="2" t="s">
        <v>0</v>
      </c>
      <c r="B152" t="s">
        <v>1</v>
      </c>
      <c r="C152" s="3">
        <v>46276</v>
      </c>
      <c r="D152" t="s">
        <v>2</v>
      </c>
      <c r="E152" t="s">
        <v>0</v>
      </c>
      <c r="F152" s="5">
        <v>122433</v>
      </c>
      <c r="G152" s="5" t="str">
        <f>VLOOKUP(F152,'[1]46974159BCSET2026'!$F:$AE,26,0)</f>
        <v>Sim</v>
      </c>
      <c r="H152" t="s">
        <v>3</v>
      </c>
      <c r="I152" s="3">
        <v>46276</v>
      </c>
      <c r="J152" t="s">
        <v>4</v>
      </c>
      <c r="K152" t="s">
        <v>229</v>
      </c>
      <c r="L152" t="s">
        <v>230</v>
      </c>
      <c r="M152" s="8">
        <v>-4081.62</v>
      </c>
      <c r="N152" t="s">
        <v>0</v>
      </c>
      <c r="O152" t="s">
        <v>7</v>
      </c>
      <c r="P152" t="s">
        <v>8</v>
      </c>
    </row>
    <row r="153" spans="1:16" ht="13.95" customHeight="1" x14ac:dyDescent="0.25">
      <c r="A153" s="2" t="s">
        <v>0</v>
      </c>
      <c r="B153" t="s">
        <v>1</v>
      </c>
      <c r="C153" s="3">
        <v>46276</v>
      </c>
      <c r="D153" t="s">
        <v>2</v>
      </c>
      <c r="E153" t="s">
        <v>0</v>
      </c>
      <c r="F153" s="5">
        <v>122506</v>
      </c>
      <c r="G153" s="5" t="str">
        <f>VLOOKUP(F153,'[1]46974159BCSET2026'!$F:$AE,26,0)</f>
        <v>Sim</v>
      </c>
      <c r="H153" t="s">
        <v>3</v>
      </c>
      <c r="I153" s="3">
        <v>46276</v>
      </c>
      <c r="J153" t="s">
        <v>4</v>
      </c>
      <c r="K153" t="s">
        <v>231</v>
      </c>
      <c r="L153" t="s">
        <v>232</v>
      </c>
      <c r="M153" s="8">
        <v>-4080.61</v>
      </c>
      <c r="N153" t="s">
        <v>0</v>
      </c>
      <c r="O153" t="s">
        <v>7</v>
      </c>
      <c r="P153" t="s">
        <v>8</v>
      </c>
    </row>
    <row r="154" spans="1:16" ht="13.95" customHeight="1" x14ac:dyDescent="0.25">
      <c r="A154" s="2" t="s">
        <v>0</v>
      </c>
      <c r="B154" t="s">
        <v>1</v>
      </c>
      <c r="C154" s="3">
        <v>46276</v>
      </c>
      <c r="D154" t="s">
        <v>2</v>
      </c>
      <c r="E154" t="s">
        <v>0</v>
      </c>
      <c r="F154" s="5">
        <v>122683</v>
      </c>
      <c r="G154" s="5" t="str">
        <f>VLOOKUP(F154,'[1]46974159BCSET2026'!$F:$AE,26,0)</f>
        <v>Sim</v>
      </c>
      <c r="H154" t="s">
        <v>3</v>
      </c>
      <c r="I154" s="3">
        <v>46276</v>
      </c>
      <c r="J154" t="s">
        <v>4</v>
      </c>
      <c r="K154" t="s">
        <v>233</v>
      </c>
      <c r="L154" t="s">
        <v>234</v>
      </c>
      <c r="M154" s="8">
        <v>-4080.61</v>
      </c>
      <c r="N154" t="s">
        <v>0</v>
      </c>
      <c r="O154" t="s">
        <v>7</v>
      </c>
      <c r="P154" t="s">
        <v>8</v>
      </c>
    </row>
    <row r="155" spans="1:16" ht="13.95" customHeight="1" x14ac:dyDescent="0.25">
      <c r="A155" s="2" t="s">
        <v>0</v>
      </c>
      <c r="B155" t="s">
        <v>1</v>
      </c>
      <c r="C155" s="3">
        <v>46276</v>
      </c>
      <c r="D155" t="s">
        <v>2</v>
      </c>
      <c r="E155" t="s">
        <v>0</v>
      </c>
      <c r="F155" s="5">
        <v>122415</v>
      </c>
      <c r="G155" s="5" t="str">
        <f>VLOOKUP(F155,'[1]46974159BCSET2026'!$F:$AE,26,0)</f>
        <v>Sim</v>
      </c>
      <c r="H155" t="s">
        <v>3</v>
      </c>
      <c r="I155" s="3">
        <v>46276</v>
      </c>
      <c r="J155" t="s">
        <v>4</v>
      </c>
      <c r="K155" t="s">
        <v>235</v>
      </c>
      <c r="L155" t="s">
        <v>236</v>
      </c>
      <c r="M155" s="8">
        <v>-4080.61</v>
      </c>
      <c r="N155" t="s">
        <v>0</v>
      </c>
      <c r="O155" t="s">
        <v>7</v>
      </c>
      <c r="P155" t="s">
        <v>8</v>
      </c>
    </row>
    <row r="156" spans="1:16" ht="13.95" customHeight="1" x14ac:dyDescent="0.25">
      <c r="A156" s="2" t="s">
        <v>0</v>
      </c>
      <c r="B156" t="s">
        <v>1</v>
      </c>
      <c r="C156" s="3">
        <v>46276</v>
      </c>
      <c r="D156" t="s">
        <v>2</v>
      </c>
      <c r="E156" t="s">
        <v>0</v>
      </c>
      <c r="F156" s="5">
        <v>122203</v>
      </c>
      <c r="G156" s="5" t="str">
        <f>VLOOKUP(F156,'[1]46974159BCSET2026'!$F:$AE,26,0)</f>
        <v>Sim</v>
      </c>
      <c r="H156" t="s">
        <v>3</v>
      </c>
      <c r="I156" s="3">
        <v>46276</v>
      </c>
      <c r="J156" t="s">
        <v>4</v>
      </c>
      <c r="K156" t="s">
        <v>24</v>
      </c>
      <c r="L156" t="s">
        <v>25</v>
      </c>
      <c r="M156" s="8">
        <v>-4002.94</v>
      </c>
      <c r="N156" t="s">
        <v>0</v>
      </c>
      <c r="O156" t="s">
        <v>7</v>
      </c>
      <c r="P156" t="s">
        <v>8</v>
      </c>
    </row>
    <row r="157" spans="1:16" ht="13.95" customHeight="1" x14ac:dyDescent="0.25">
      <c r="A157" s="2" t="s">
        <v>0</v>
      </c>
      <c r="B157" t="s">
        <v>1</v>
      </c>
      <c r="C157" s="3">
        <v>46276</v>
      </c>
      <c r="D157" t="s">
        <v>2</v>
      </c>
      <c r="E157" t="s">
        <v>0</v>
      </c>
      <c r="F157" s="5">
        <v>122238</v>
      </c>
      <c r="G157" s="5" t="str">
        <f>VLOOKUP(F157,'[1]46974159BCSET2026'!$F:$AE,26,0)</f>
        <v>Sim</v>
      </c>
      <c r="H157" t="s">
        <v>3</v>
      </c>
      <c r="I157" s="3">
        <v>46276</v>
      </c>
      <c r="J157" t="s">
        <v>4</v>
      </c>
      <c r="K157" t="s">
        <v>237</v>
      </c>
      <c r="L157" t="s">
        <v>238</v>
      </c>
      <c r="M157" s="8">
        <v>-3995.46</v>
      </c>
      <c r="N157" t="s">
        <v>0</v>
      </c>
      <c r="O157" t="s">
        <v>7</v>
      </c>
      <c r="P157" t="s">
        <v>8</v>
      </c>
    </row>
    <row r="158" spans="1:16" ht="13.95" customHeight="1" x14ac:dyDescent="0.25">
      <c r="A158" s="2" t="s">
        <v>0</v>
      </c>
      <c r="B158" t="s">
        <v>1</v>
      </c>
      <c r="C158" s="3">
        <v>46276</v>
      </c>
      <c r="D158" t="s">
        <v>2</v>
      </c>
      <c r="E158" t="s">
        <v>0</v>
      </c>
      <c r="F158" s="5">
        <v>122198</v>
      </c>
      <c r="G158" s="5" t="str">
        <f>VLOOKUP(F158,'[1]46974159BCSET2026'!$F:$AE,26,0)</f>
        <v>Sim</v>
      </c>
      <c r="H158" t="s">
        <v>3</v>
      </c>
      <c r="I158" s="3">
        <v>46276</v>
      </c>
      <c r="J158" t="s">
        <v>4</v>
      </c>
      <c r="K158" t="s">
        <v>239</v>
      </c>
      <c r="L158" t="s">
        <v>240</v>
      </c>
      <c r="M158" s="8">
        <v>-3981.47</v>
      </c>
      <c r="N158" t="s">
        <v>0</v>
      </c>
      <c r="O158" t="s">
        <v>7</v>
      </c>
      <c r="P158" t="s">
        <v>8</v>
      </c>
    </row>
    <row r="159" spans="1:16" ht="13.95" customHeight="1" x14ac:dyDescent="0.25">
      <c r="A159" s="2" t="s">
        <v>0</v>
      </c>
      <c r="B159" t="s">
        <v>1</v>
      </c>
      <c r="C159" s="3">
        <v>46276</v>
      </c>
      <c r="D159" t="s">
        <v>2</v>
      </c>
      <c r="E159" t="s">
        <v>0</v>
      </c>
      <c r="F159" s="5">
        <v>122804</v>
      </c>
      <c r="G159" s="5" t="str">
        <f>VLOOKUP(F159,'[1]46974159BCSET2026'!$F:$AE,26,0)</f>
        <v>Sim</v>
      </c>
      <c r="H159" t="s">
        <v>3</v>
      </c>
      <c r="I159" s="3">
        <v>46276</v>
      </c>
      <c r="J159" t="s">
        <v>4</v>
      </c>
      <c r="K159" t="s">
        <v>241</v>
      </c>
      <c r="L159" t="s">
        <v>242</v>
      </c>
      <c r="M159" s="8">
        <v>-3979.59</v>
      </c>
      <c r="N159" t="s">
        <v>0</v>
      </c>
      <c r="O159" t="s">
        <v>7</v>
      </c>
      <c r="P159" t="s">
        <v>8</v>
      </c>
    </row>
    <row r="160" spans="1:16" ht="13.95" customHeight="1" x14ac:dyDescent="0.25">
      <c r="A160" s="2" t="s">
        <v>0</v>
      </c>
      <c r="B160" t="s">
        <v>1</v>
      </c>
      <c r="C160" s="3">
        <v>46276</v>
      </c>
      <c r="D160" t="s">
        <v>2</v>
      </c>
      <c r="E160" t="s">
        <v>0</v>
      </c>
      <c r="F160" s="5">
        <v>122688</v>
      </c>
      <c r="G160" s="5" t="str">
        <f>VLOOKUP(F160,'[1]46974159BCSET2026'!$F:$AE,26,0)</f>
        <v>Sim</v>
      </c>
      <c r="H160" t="s">
        <v>3</v>
      </c>
      <c r="I160" s="3">
        <v>46276</v>
      </c>
      <c r="J160" t="s">
        <v>4</v>
      </c>
      <c r="K160" t="s">
        <v>243</v>
      </c>
      <c r="L160" t="s">
        <v>244</v>
      </c>
      <c r="M160" s="8">
        <v>-3908.43</v>
      </c>
      <c r="N160" t="s">
        <v>0</v>
      </c>
      <c r="O160" t="s">
        <v>7</v>
      </c>
      <c r="P160" t="s">
        <v>8</v>
      </c>
    </row>
    <row r="161" spans="1:16" ht="13.95" customHeight="1" x14ac:dyDescent="0.25">
      <c r="A161" s="2" t="s">
        <v>0</v>
      </c>
      <c r="B161" t="s">
        <v>1</v>
      </c>
      <c r="C161" s="3">
        <v>46276</v>
      </c>
      <c r="D161" t="s">
        <v>2</v>
      </c>
      <c r="E161" t="s">
        <v>0</v>
      </c>
      <c r="F161" s="5">
        <v>122649</v>
      </c>
      <c r="G161" s="5" t="str">
        <f>VLOOKUP(F161,'[1]46974159BCSET2026'!$F:$AE,26,0)</f>
        <v>Sim</v>
      </c>
      <c r="H161" t="s">
        <v>3</v>
      </c>
      <c r="I161" s="3">
        <v>46276</v>
      </c>
      <c r="J161" t="s">
        <v>4</v>
      </c>
      <c r="K161" t="s">
        <v>117</v>
      </c>
      <c r="L161" t="s">
        <v>118</v>
      </c>
      <c r="M161" s="8">
        <v>-3891.72</v>
      </c>
      <c r="N161" t="s">
        <v>0</v>
      </c>
      <c r="O161" t="s">
        <v>7</v>
      </c>
      <c r="P161" t="s">
        <v>8</v>
      </c>
    </row>
    <row r="162" spans="1:16" ht="13.95" customHeight="1" x14ac:dyDescent="0.25">
      <c r="A162" s="2" t="s">
        <v>0</v>
      </c>
      <c r="B162" t="s">
        <v>1</v>
      </c>
      <c r="C162" s="3">
        <v>46276</v>
      </c>
      <c r="D162" t="s">
        <v>2</v>
      </c>
      <c r="E162" t="s">
        <v>0</v>
      </c>
      <c r="F162" s="5">
        <v>122591</v>
      </c>
      <c r="G162" s="5" t="str">
        <f>VLOOKUP(F162,'[1]46974159BCSET2026'!$F:$AE,26,0)</f>
        <v>Sim</v>
      </c>
      <c r="H162" t="s">
        <v>3</v>
      </c>
      <c r="I162" s="3">
        <v>46276</v>
      </c>
      <c r="J162" t="s">
        <v>4</v>
      </c>
      <c r="K162" t="s">
        <v>245</v>
      </c>
      <c r="L162" t="s">
        <v>246</v>
      </c>
      <c r="M162" s="8">
        <v>-3887.51</v>
      </c>
      <c r="N162" t="s">
        <v>0</v>
      </c>
      <c r="O162" t="s">
        <v>7</v>
      </c>
      <c r="P162" t="s">
        <v>8</v>
      </c>
    </row>
    <row r="163" spans="1:16" ht="13.95" customHeight="1" x14ac:dyDescent="0.25">
      <c r="A163" s="2" t="s">
        <v>0</v>
      </c>
      <c r="B163" t="s">
        <v>1</v>
      </c>
      <c r="C163" s="3">
        <v>46276</v>
      </c>
      <c r="D163" t="s">
        <v>2</v>
      </c>
      <c r="E163" t="s">
        <v>0</v>
      </c>
      <c r="F163" s="5">
        <v>122658</v>
      </c>
      <c r="G163" s="5" t="str">
        <f>VLOOKUP(F163,'[1]46974159BCSET2026'!$F:$AE,26,0)</f>
        <v>Sim</v>
      </c>
      <c r="H163" t="s">
        <v>3</v>
      </c>
      <c r="I163" s="3">
        <v>46276</v>
      </c>
      <c r="J163" t="s">
        <v>4</v>
      </c>
      <c r="K163" t="s">
        <v>121</v>
      </c>
      <c r="L163" t="s">
        <v>122</v>
      </c>
      <c r="M163" s="8">
        <v>-3882.45</v>
      </c>
      <c r="N163" t="s">
        <v>0</v>
      </c>
      <c r="O163" t="s">
        <v>7</v>
      </c>
      <c r="P163" t="s">
        <v>8</v>
      </c>
    </row>
    <row r="164" spans="1:16" ht="13.95" customHeight="1" x14ac:dyDescent="0.25">
      <c r="A164" s="2" t="s">
        <v>0</v>
      </c>
      <c r="B164" t="s">
        <v>1</v>
      </c>
      <c r="C164" s="3">
        <v>46276</v>
      </c>
      <c r="D164" t="s">
        <v>2</v>
      </c>
      <c r="E164" t="s">
        <v>0</v>
      </c>
      <c r="F164" s="5">
        <v>122527</v>
      </c>
      <c r="G164" s="5" t="str">
        <f>VLOOKUP(F164,'[1]46974159BCSET2026'!$F:$AE,26,0)</f>
        <v>Sim</v>
      </c>
      <c r="H164" t="s">
        <v>3</v>
      </c>
      <c r="I164" s="3">
        <v>46276</v>
      </c>
      <c r="J164" t="s">
        <v>4</v>
      </c>
      <c r="K164" t="s">
        <v>247</v>
      </c>
      <c r="L164" t="s">
        <v>248</v>
      </c>
      <c r="M164" s="8">
        <v>-3877.55</v>
      </c>
      <c r="N164" t="s">
        <v>0</v>
      </c>
      <c r="O164" t="s">
        <v>7</v>
      </c>
      <c r="P164" t="s">
        <v>8</v>
      </c>
    </row>
    <row r="165" spans="1:16" ht="13.95" customHeight="1" x14ac:dyDescent="0.25">
      <c r="A165" s="2" t="s">
        <v>0</v>
      </c>
      <c r="B165" t="s">
        <v>1</v>
      </c>
      <c r="C165" s="3">
        <v>46276</v>
      </c>
      <c r="D165" t="s">
        <v>2</v>
      </c>
      <c r="E165" t="s">
        <v>0</v>
      </c>
      <c r="F165" s="5">
        <v>122532</v>
      </c>
      <c r="G165" s="5" t="str">
        <f>VLOOKUP(F165,'[1]46974159BCSET2026'!$F:$AE,26,0)</f>
        <v>Sim</v>
      </c>
      <c r="H165" t="s">
        <v>3</v>
      </c>
      <c r="I165" s="3">
        <v>46276</v>
      </c>
      <c r="J165" t="s">
        <v>4</v>
      </c>
      <c r="K165" t="s">
        <v>249</v>
      </c>
      <c r="L165" t="s">
        <v>250</v>
      </c>
      <c r="M165" s="8">
        <v>-3854.92</v>
      </c>
      <c r="N165" t="s">
        <v>0</v>
      </c>
      <c r="O165" t="s">
        <v>7</v>
      </c>
      <c r="P165" t="s">
        <v>8</v>
      </c>
    </row>
    <row r="166" spans="1:16" ht="13.95" customHeight="1" x14ac:dyDescent="0.25">
      <c r="A166" s="2" t="s">
        <v>0</v>
      </c>
      <c r="B166" t="s">
        <v>1</v>
      </c>
      <c r="C166" s="3">
        <v>46276</v>
      </c>
      <c r="D166" t="s">
        <v>2</v>
      </c>
      <c r="E166" t="s">
        <v>0</v>
      </c>
      <c r="F166" s="5">
        <v>122648</v>
      </c>
      <c r="G166" s="5" t="str">
        <f>VLOOKUP(F166,'[1]46974159BCSET2026'!$F:$AE,26,0)</f>
        <v>Sim</v>
      </c>
      <c r="H166" t="s">
        <v>3</v>
      </c>
      <c r="I166" s="3">
        <v>46276</v>
      </c>
      <c r="J166" t="s">
        <v>4</v>
      </c>
      <c r="K166" t="s">
        <v>251</v>
      </c>
      <c r="L166" t="s">
        <v>252</v>
      </c>
      <c r="M166" s="8">
        <v>-3847.96</v>
      </c>
      <c r="N166" t="s">
        <v>0</v>
      </c>
      <c r="O166" t="s">
        <v>7</v>
      </c>
      <c r="P166" t="s">
        <v>8</v>
      </c>
    </row>
    <row r="167" spans="1:16" ht="13.95" customHeight="1" x14ac:dyDescent="0.25">
      <c r="A167" s="2" t="s">
        <v>0</v>
      </c>
      <c r="B167" t="s">
        <v>1</v>
      </c>
      <c r="C167" s="3">
        <v>46276</v>
      </c>
      <c r="D167" t="s">
        <v>2</v>
      </c>
      <c r="E167" t="s">
        <v>0</v>
      </c>
      <c r="F167" s="5">
        <v>122636</v>
      </c>
      <c r="G167" s="5" t="str">
        <f>VLOOKUP(F167,'[1]46974159BCSET2026'!$F:$AE,26,0)</f>
        <v>Sim</v>
      </c>
      <c r="H167" t="s">
        <v>3</v>
      </c>
      <c r="I167" s="3">
        <v>46276</v>
      </c>
      <c r="J167" t="s">
        <v>4</v>
      </c>
      <c r="K167" t="s">
        <v>253</v>
      </c>
      <c r="L167" t="s">
        <v>254</v>
      </c>
      <c r="M167" s="8">
        <v>-3813.63</v>
      </c>
      <c r="N167" t="s">
        <v>0</v>
      </c>
      <c r="O167" t="s">
        <v>7</v>
      </c>
      <c r="P167" t="s">
        <v>8</v>
      </c>
    </row>
    <row r="168" spans="1:16" ht="13.95" customHeight="1" x14ac:dyDescent="0.25">
      <c r="A168" s="2" t="s">
        <v>0</v>
      </c>
      <c r="B168" t="s">
        <v>1</v>
      </c>
      <c r="C168" s="3">
        <v>46276</v>
      </c>
      <c r="D168" t="s">
        <v>2</v>
      </c>
      <c r="E168" t="s">
        <v>0</v>
      </c>
      <c r="F168" s="5">
        <v>122648</v>
      </c>
      <c r="G168" s="5" t="str">
        <f>VLOOKUP(F168,'[1]46974159BCSET2026'!$F:$AE,26,0)</f>
        <v>Sim</v>
      </c>
      <c r="H168" t="s">
        <v>3</v>
      </c>
      <c r="I168" s="3">
        <v>46276</v>
      </c>
      <c r="J168" t="s">
        <v>4</v>
      </c>
      <c r="K168" t="s">
        <v>251</v>
      </c>
      <c r="L168" t="s">
        <v>252</v>
      </c>
      <c r="M168" s="8">
        <v>-3745.35</v>
      </c>
      <c r="N168" t="s">
        <v>0</v>
      </c>
      <c r="O168" t="s">
        <v>7</v>
      </c>
      <c r="P168" t="s">
        <v>8</v>
      </c>
    </row>
    <row r="169" spans="1:16" ht="13.95" customHeight="1" x14ac:dyDescent="0.25">
      <c r="A169" s="2" t="s">
        <v>0</v>
      </c>
      <c r="B169" t="s">
        <v>1</v>
      </c>
      <c r="C169" s="3">
        <v>46276</v>
      </c>
      <c r="D169" t="s">
        <v>2</v>
      </c>
      <c r="E169" t="s">
        <v>0</v>
      </c>
      <c r="F169" s="5">
        <v>122509</v>
      </c>
      <c r="G169" s="5" t="str">
        <f>VLOOKUP(F169,'[1]46974159BCSET2026'!$F:$AE,26,0)</f>
        <v>Sim</v>
      </c>
      <c r="H169" t="s">
        <v>3</v>
      </c>
      <c r="I169" s="3">
        <v>46276</v>
      </c>
      <c r="J169" t="s">
        <v>4</v>
      </c>
      <c r="K169" t="s">
        <v>255</v>
      </c>
      <c r="L169" t="s">
        <v>256</v>
      </c>
      <c r="M169" s="8">
        <v>-3707.93</v>
      </c>
      <c r="N169" t="s">
        <v>0</v>
      </c>
      <c r="O169" t="s">
        <v>7</v>
      </c>
      <c r="P169" t="s">
        <v>8</v>
      </c>
    </row>
    <row r="170" spans="1:16" ht="13.95" customHeight="1" x14ac:dyDescent="0.25">
      <c r="A170" s="2" t="s">
        <v>0</v>
      </c>
      <c r="B170" t="s">
        <v>1</v>
      </c>
      <c r="C170" s="3">
        <v>46276</v>
      </c>
      <c r="D170" t="s">
        <v>2</v>
      </c>
      <c r="E170" t="s">
        <v>0</v>
      </c>
      <c r="F170" s="5">
        <v>122526</v>
      </c>
      <c r="G170" s="5" t="str">
        <f>VLOOKUP(F170,'[1]46974159BCSET2026'!$F:$AE,26,0)</f>
        <v>Sim</v>
      </c>
      <c r="H170" t="s">
        <v>3</v>
      </c>
      <c r="I170" s="3">
        <v>46276</v>
      </c>
      <c r="J170" t="s">
        <v>4</v>
      </c>
      <c r="K170" t="s">
        <v>97</v>
      </c>
      <c r="L170" t="s">
        <v>98</v>
      </c>
      <c r="M170" s="8">
        <v>-3648.21</v>
      </c>
      <c r="N170" t="s">
        <v>0</v>
      </c>
      <c r="O170" t="s">
        <v>7</v>
      </c>
      <c r="P170" t="s">
        <v>8</v>
      </c>
    </row>
    <row r="171" spans="1:16" ht="13.95" customHeight="1" x14ac:dyDescent="0.25">
      <c r="A171" s="2" t="s">
        <v>0</v>
      </c>
      <c r="B171" t="s">
        <v>1</v>
      </c>
      <c r="C171" s="3">
        <v>46276</v>
      </c>
      <c r="D171" t="s">
        <v>2</v>
      </c>
      <c r="E171" t="s">
        <v>0</v>
      </c>
      <c r="F171" s="5">
        <v>122649</v>
      </c>
      <c r="G171" s="5" t="str">
        <f>VLOOKUP(F171,'[1]46974159BCSET2026'!$F:$AE,26,0)</f>
        <v>Sim</v>
      </c>
      <c r="H171" t="s">
        <v>3</v>
      </c>
      <c r="I171" s="3">
        <v>46276</v>
      </c>
      <c r="J171" t="s">
        <v>4</v>
      </c>
      <c r="K171" t="s">
        <v>117</v>
      </c>
      <c r="L171" t="s">
        <v>118</v>
      </c>
      <c r="M171" s="8">
        <v>-3638.51</v>
      </c>
      <c r="N171" t="s">
        <v>0</v>
      </c>
      <c r="O171" t="s">
        <v>7</v>
      </c>
      <c r="P171" t="s">
        <v>8</v>
      </c>
    </row>
    <row r="172" spans="1:16" ht="13.95" customHeight="1" x14ac:dyDescent="0.25">
      <c r="A172" s="2" t="s">
        <v>0</v>
      </c>
      <c r="B172" t="s">
        <v>1</v>
      </c>
      <c r="C172" s="3">
        <v>46276</v>
      </c>
      <c r="D172" t="s">
        <v>2</v>
      </c>
      <c r="E172" t="s">
        <v>0</v>
      </c>
      <c r="F172" s="5">
        <v>122497</v>
      </c>
      <c r="G172" s="5" t="str">
        <f>VLOOKUP(F172,'[1]46974159BCSET2026'!$F:$AE,26,0)</f>
        <v>Sim</v>
      </c>
      <c r="H172" t="s">
        <v>3</v>
      </c>
      <c r="I172" s="3">
        <v>46276</v>
      </c>
      <c r="J172" t="s">
        <v>4</v>
      </c>
      <c r="K172" t="s">
        <v>131</v>
      </c>
      <c r="L172" t="s">
        <v>132</v>
      </c>
      <c r="M172" s="8">
        <v>-3622.87</v>
      </c>
      <c r="N172" t="s">
        <v>0</v>
      </c>
      <c r="O172" t="s">
        <v>7</v>
      </c>
      <c r="P172" t="s">
        <v>8</v>
      </c>
    </row>
    <row r="173" spans="1:16" ht="13.95" hidden="1" customHeight="1" x14ac:dyDescent="0.25">
      <c r="A173" s="2" t="s">
        <v>0</v>
      </c>
      <c r="B173" t="s">
        <v>1</v>
      </c>
      <c r="C173" s="3">
        <v>46276</v>
      </c>
      <c r="D173" t="s">
        <v>2</v>
      </c>
      <c r="E173" t="s">
        <v>0</v>
      </c>
      <c r="F173" s="5">
        <v>122564</v>
      </c>
      <c r="G173" s="5" t="str">
        <f>VLOOKUP(F173,'[1]46974159BCSET2026'!$F:$AE,26,0)</f>
        <v>Cancelada</v>
      </c>
      <c r="H173" t="s">
        <v>3</v>
      </c>
      <c r="I173" s="3">
        <v>46276</v>
      </c>
      <c r="J173" t="s">
        <v>4</v>
      </c>
      <c r="K173" t="s">
        <v>257</v>
      </c>
      <c r="L173" t="s">
        <v>258</v>
      </c>
      <c r="M173" s="8">
        <v>-3602.62</v>
      </c>
      <c r="N173" t="s">
        <v>0</v>
      </c>
      <c r="O173" t="s">
        <v>7</v>
      </c>
      <c r="P173" t="s">
        <v>8</v>
      </c>
    </row>
    <row r="174" spans="1:16" ht="13.95" customHeight="1" x14ac:dyDescent="0.25">
      <c r="A174" s="2" t="s">
        <v>0</v>
      </c>
      <c r="B174" t="s">
        <v>1</v>
      </c>
      <c r="C174" s="3">
        <v>46276</v>
      </c>
      <c r="D174" t="s">
        <v>2</v>
      </c>
      <c r="E174" t="s">
        <v>0</v>
      </c>
      <c r="F174" s="5">
        <v>122248</v>
      </c>
      <c r="G174" s="5" t="str">
        <f>VLOOKUP(F174,'[1]46974159BCSET2026'!$F:$AE,26,0)</f>
        <v>Sim</v>
      </c>
      <c r="H174" t="s">
        <v>3</v>
      </c>
      <c r="I174" s="3">
        <v>46276</v>
      </c>
      <c r="J174" t="s">
        <v>4</v>
      </c>
      <c r="K174" t="s">
        <v>259</v>
      </c>
      <c r="L174" t="s">
        <v>260</v>
      </c>
      <c r="M174" s="8">
        <v>-3571.43</v>
      </c>
      <c r="N174" t="s">
        <v>0</v>
      </c>
      <c r="O174" t="s">
        <v>7</v>
      </c>
      <c r="P174" t="s">
        <v>8</v>
      </c>
    </row>
    <row r="175" spans="1:16" ht="13.95" customHeight="1" x14ac:dyDescent="0.25">
      <c r="A175" s="2" t="s">
        <v>0</v>
      </c>
      <c r="B175" t="s">
        <v>1</v>
      </c>
      <c r="C175" s="3">
        <v>46276</v>
      </c>
      <c r="D175" t="s">
        <v>2</v>
      </c>
      <c r="E175" t="s">
        <v>0</v>
      </c>
      <c r="F175" s="5">
        <v>122274</v>
      </c>
      <c r="G175" s="5" t="str">
        <f>VLOOKUP(F175,'[1]46974159BCSET2026'!$F:$AE,26,0)</f>
        <v>Sim</v>
      </c>
      <c r="H175" t="s">
        <v>3</v>
      </c>
      <c r="I175" s="3">
        <v>46276</v>
      </c>
      <c r="J175" t="s">
        <v>4</v>
      </c>
      <c r="K175" t="s">
        <v>215</v>
      </c>
      <c r="L175" t="s">
        <v>216</v>
      </c>
      <c r="M175" s="8">
        <v>-3571.43</v>
      </c>
      <c r="N175" t="s">
        <v>0</v>
      </c>
      <c r="O175" t="s">
        <v>7</v>
      </c>
      <c r="P175" t="s">
        <v>8</v>
      </c>
    </row>
    <row r="176" spans="1:16" ht="13.95" customHeight="1" x14ac:dyDescent="0.25">
      <c r="A176" s="2" t="s">
        <v>0</v>
      </c>
      <c r="B176" t="s">
        <v>1</v>
      </c>
      <c r="C176" s="3">
        <v>46276</v>
      </c>
      <c r="D176" t="s">
        <v>2</v>
      </c>
      <c r="E176" t="s">
        <v>0</v>
      </c>
      <c r="F176" s="5">
        <v>122670</v>
      </c>
      <c r="G176" s="5" t="str">
        <f>VLOOKUP(F176,'[1]46974159BCSET2026'!$F:$AE,26,0)</f>
        <v>Sim</v>
      </c>
      <c r="H176" t="s">
        <v>3</v>
      </c>
      <c r="I176" s="3">
        <v>46276</v>
      </c>
      <c r="J176" t="s">
        <v>4</v>
      </c>
      <c r="K176" t="s">
        <v>261</v>
      </c>
      <c r="L176" t="s">
        <v>262</v>
      </c>
      <c r="M176" s="8">
        <v>-3571.43</v>
      </c>
      <c r="N176" t="s">
        <v>0</v>
      </c>
      <c r="O176" t="s">
        <v>7</v>
      </c>
      <c r="P176" t="s">
        <v>8</v>
      </c>
    </row>
    <row r="177" spans="1:16" ht="13.95" customHeight="1" x14ac:dyDescent="0.25">
      <c r="A177" s="2" t="s">
        <v>0</v>
      </c>
      <c r="B177" t="s">
        <v>1</v>
      </c>
      <c r="C177" s="3">
        <v>46276</v>
      </c>
      <c r="D177" t="s">
        <v>2</v>
      </c>
      <c r="E177" t="s">
        <v>0</v>
      </c>
      <c r="F177" s="5">
        <v>122637</v>
      </c>
      <c r="G177" s="5" t="str">
        <f>VLOOKUP(F177,'[1]46974159BCSET2026'!$F:$AE,26,0)</f>
        <v>Sim</v>
      </c>
      <c r="H177" t="s">
        <v>3</v>
      </c>
      <c r="I177" s="3">
        <v>46276</v>
      </c>
      <c r="J177" t="s">
        <v>4</v>
      </c>
      <c r="K177" t="s">
        <v>263</v>
      </c>
      <c r="L177" t="s">
        <v>264</v>
      </c>
      <c r="M177" s="8">
        <v>-3548.98</v>
      </c>
      <c r="N177" t="s">
        <v>0</v>
      </c>
      <c r="O177" t="s">
        <v>7</v>
      </c>
      <c r="P177" t="s">
        <v>8</v>
      </c>
    </row>
    <row r="178" spans="1:16" ht="13.95" customHeight="1" x14ac:dyDescent="0.25">
      <c r="A178" s="2" t="s">
        <v>0</v>
      </c>
      <c r="B178" t="s">
        <v>1</v>
      </c>
      <c r="C178" s="3">
        <v>46276</v>
      </c>
      <c r="D178" t="s">
        <v>2</v>
      </c>
      <c r="E178" t="s">
        <v>0</v>
      </c>
      <c r="F178" s="5">
        <v>122640</v>
      </c>
      <c r="G178" s="5" t="str">
        <f>VLOOKUP(F178,'[1]46974159BCSET2026'!$F:$AE,26,0)</f>
        <v>Sim</v>
      </c>
      <c r="H178" t="s">
        <v>3</v>
      </c>
      <c r="I178" s="3">
        <v>46276</v>
      </c>
      <c r="J178" t="s">
        <v>4</v>
      </c>
      <c r="K178" t="s">
        <v>265</v>
      </c>
      <c r="L178" t="s">
        <v>266</v>
      </c>
      <c r="M178" s="8">
        <v>-3532.38</v>
      </c>
      <c r="N178" t="s">
        <v>0</v>
      </c>
      <c r="O178" t="s">
        <v>7</v>
      </c>
      <c r="P178" t="s">
        <v>8</v>
      </c>
    </row>
    <row r="179" spans="1:16" ht="13.95" customHeight="1" x14ac:dyDescent="0.25">
      <c r="A179" s="2" t="s">
        <v>0</v>
      </c>
      <c r="B179" t="s">
        <v>1</v>
      </c>
      <c r="C179" s="3">
        <v>46276</v>
      </c>
      <c r="D179" t="s">
        <v>2</v>
      </c>
      <c r="E179" t="s">
        <v>0</v>
      </c>
      <c r="F179" s="5">
        <v>122281</v>
      </c>
      <c r="G179" s="5" t="str">
        <f>VLOOKUP(F179,'[1]46974159BCSET2026'!$F:$AE,26,0)</f>
        <v>Sim</v>
      </c>
      <c r="H179" t="s">
        <v>3</v>
      </c>
      <c r="I179" s="3">
        <v>46276</v>
      </c>
      <c r="J179" t="s">
        <v>4</v>
      </c>
      <c r="K179" t="s">
        <v>157</v>
      </c>
      <c r="L179" t="s">
        <v>158</v>
      </c>
      <c r="M179" s="8">
        <v>-3470.09</v>
      </c>
      <c r="N179" t="s">
        <v>0</v>
      </c>
      <c r="O179" t="s">
        <v>7</v>
      </c>
      <c r="P179" t="s">
        <v>8</v>
      </c>
    </row>
    <row r="180" spans="1:16" ht="13.95" customHeight="1" x14ac:dyDescent="0.25">
      <c r="A180" s="2" t="s">
        <v>0</v>
      </c>
      <c r="B180" t="s">
        <v>1</v>
      </c>
      <c r="C180" s="3">
        <v>46276</v>
      </c>
      <c r="D180" t="s">
        <v>2</v>
      </c>
      <c r="E180" t="s">
        <v>0</v>
      </c>
      <c r="F180" s="5">
        <v>122191</v>
      </c>
      <c r="G180" s="5" t="str">
        <f>VLOOKUP(F180,'[1]46974159BCSET2026'!$F:$AE,26,0)</f>
        <v>Sim</v>
      </c>
      <c r="H180" t="s">
        <v>3</v>
      </c>
      <c r="I180" s="3">
        <v>46276</v>
      </c>
      <c r="J180" t="s">
        <v>4</v>
      </c>
      <c r="K180" t="s">
        <v>48</v>
      </c>
      <c r="L180" t="s">
        <v>49</v>
      </c>
      <c r="M180" s="8">
        <v>-3460.15</v>
      </c>
      <c r="N180" t="s">
        <v>0</v>
      </c>
      <c r="O180" t="s">
        <v>7</v>
      </c>
      <c r="P180" t="s">
        <v>8</v>
      </c>
    </row>
    <row r="181" spans="1:16" ht="13.95" customHeight="1" x14ac:dyDescent="0.25">
      <c r="A181" s="2" t="s">
        <v>0</v>
      </c>
      <c r="B181" t="s">
        <v>1</v>
      </c>
      <c r="C181" s="3">
        <v>46276</v>
      </c>
      <c r="D181" t="s">
        <v>2</v>
      </c>
      <c r="E181" t="s">
        <v>0</v>
      </c>
      <c r="F181" s="5">
        <v>122256</v>
      </c>
      <c r="G181" s="5" t="str">
        <f>VLOOKUP(F181,'[1]46974159BCSET2026'!$F:$AE,26,0)</f>
        <v>Sim</v>
      </c>
      <c r="H181" t="s">
        <v>3</v>
      </c>
      <c r="I181" s="3">
        <v>46276</v>
      </c>
      <c r="J181" t="s">
        <v>4</v>
      </c>
      <c r="K181" t="s">
        <v>267</v>
      </c>
      <c r="L181" t="s">
        <v>268</v>
      </c>
      <c r="M181" s="8">
        <v>-3265.31</v>
      </c>
      <c r="N181" t="s">
        <v>0</v>
      </c>
      <c r="O181" t="s">
        <v>7</v>
      </c>
      <c r="P181" t="s">
        <v>8</v>
      </c>
    </row>
    <row r="182" spans="1:16" ht="13.95" customHeight="1" x14ac:dyDescent="0.25">
      <c r="A182" s="2" t="s">
        <v>0</v>
      </c>
      <c r="B182" t="s">
        <v>1</v>
      </c>
      <c r="C182" s="3">
        <v>46276</v>
      </c>
      <c r="D182" t="s">
        <v>2</v>
      </c>
      <c r="E182" t="s">
        <v>0</v>
      </c>
      <c r="F182" s="5">
        <v>122509</v>
      </c>
      <c r="G182" s="5" t="str">
        <f>VLOOKUP(F182,'[1]46974159BCSET2026'!$F:$AE,26,0)</f>
        <v>Sim</v>
      </c>
      <c r="H182" t="s">
        <v>3</v>
      </c>
      <c r="I182" s="3">
        <v>46276</v>
      </c>
      <c r="J182" t="s">
        <v>4</v>
      </c>
      <c r="K182" t="s">
        <v>255</v>
      </c>
      <c r="L182" t="s">
        <v>256</v>
      </c>
      <c r="M182" s="8">
        <v>-3209.45</v>
      </c>
      <c r="N182" t="s">
        <v>0</v>
      </c>
      <c r="O182" t="s">
        <v>7</v>
      </c>
      <c r="P182" t="s">
        <v>8</v>
      </c>
    </row>
    <row r="183" spans="1:16" ht="13.95" hidden="1" customHeight="1" x14ac:dyDescent="0.25">
      <c r="A183" s="2" t="s">
        <v>0</v>
      </c>
      <c r="B183" t="s">
        <v>1</v>
      </c>
      <c r="C183" s="3">
        <v>46276</v>
      </c>
      <c r="D183" t="s">
        <v>2</v>
      </c>
      <c r="E183" t="s">
        <v>0</v>
      </c>
      <c r="F183" s="5">
        <v>122250</v>
      </c>
      <c r="G183" s="5" t="str">
        <f>VLOOKUP(F183,'[1]46974159BCSET2026'!$F:$AE,26,0)</f>
        <v>Cancelada</v>
      </c>
      <c r="H183" t="s">
        <v>3</v>
      </c>
      <c r="I183" s="3">
        <v>46276</v>
      </c>
      <c r="J183" t="s">
        <v>4</v>
      </c>
      <c r="K183" t="s">
        <v>269</v>
      </c>
      <c r="L183" t="s">
        <v>270</v>
      </c>
      <c r="M183" s="8">
        <v>-3196.73</v>
      </c>
      <c r="N183" t="s">
        <v>0</v>
      </c>
      <c r="O183" t="s">
        <v>7</v>
      </c>
      <c r="P183" t="s">
        <v>8</v>
      </c>
    </row>
    <row r="184" spans="1:16" ht="13.95" customHeight="1" x14ac:dyDescent="0.25">
      <c r="A184" s="2" t="s">
        <v>0</v>
      </c>
      <c r="B184" t="s">
        <v>1</v>
      </c>
      <c r="C184" s="3">
        <v>46276</v>
      </c>
      <c r="D184" t="s">
        <v>2</v>
      </c>
      <c r="E184" t="s">
        <v>0</v>
      </c>
      <c r="F184" s="5">
        <v>122201</v>
      </c>
      <c r="G184" s="5" t="str">
        <f>VLOOKUP(F184,'[1]46974159BCSET2026'!$F:$AE,26,0)</f>
        <v>Sim</v>
      </c>
      <c r="H184" t="s">
        <v>3</v>
      </c>
      <c r="I184" s="3">
        <v>46276</v>
      </c>
      <c r="J184" t="s">
        <v>4</v>
      </c>
      <c r="K184" t="s">
        <v>133</v>
      </c>
      <c r="L184" t="s">
        <v>134</v>
      </c>
      <c r="M184" s="8">
        <v>-3170</v>
      </c>
      <c r="N184" t="s">
        <v>0</v>
      </c>
      <c r="O184" t="s">
        <v>7</v>
      </c>
      <c r="P184" t="s">
        <v>8</v>
      </c>
    </row>
    <row r="185" spans="1:16" ht="13.95" customHeight="1" x14ac:dyDescent="0.25">
      <c r="A185" s="2" t="s">
        <v>0</v>
      </c>
      <c r="B185" t="s">
        <v>1</v>
      </c>
      <c r="C185" s="3">
        <v>46276</v>
      </c>
      <c r="D185" t="s">
        <v>2</v>
      </c>
      <c r="E185" t="s">
        <v>0</v>
      </c>
      <c r="F185" s="5">
        <v>122636</v>
      </c>
      <c r="G185" s="5" t="str">
        <f>VLOOKUP(F185,'[1]46974159BCSET2026'!$F:$AE,26,0)</f>
        <v>Sim</v>
      </c>
      <c r="H185" t="s">
        <v>3</v>
      </c>
      <c r="I185" s="3">
        <v>46276</v>
      </c>
      <c r="J185" t="s">
        <v>4</v>
      </c>
      <c r="K185" t="s">
        <v>253</v>
      </c>
      <c r="L185" t="s">
        <v>254</v>
      </c>
      <c r="M185" s="8">
        <v>-3162.36</v>
      </c>
      <c r="N185" t="s">
        <v>0</v>
      </c>
      <c r="O185" t="s">
        <v>7</v>
      </c>
      <c r="P185" t="s">
        <v>8</v>
      </c>
    </row>
    <row r="186" spans="1:16" ht="13.95" customHeight="1" x14ac:dyDescent="0.25">
      <c r="A186" s="2" t="s">
        <v>0</v>
      </c>
      <c r="B186" t="s">
        <v>1</v>
      </c>
      <c r="C186" s="3">
        <v>46276</v>
      </c>
      <c r="D186" t="s">
        <v>2</v>
      </c>
      <c r="E186" t="s">
        <v>0</v>
      </c>
      <c r="F186" s="5">
        <v>122636</v>
      </c>
      <c r="G186" s="5" t="str">
        <f>VLOOKUP(F186,'[1]46974159BCSET2026'!$F:$AE,26,0)</f>
        <v>Sim</v>
      </c>
      <c r="H186" t="s">
        <v>3</v>
      </c>
      <c r="I186" s="3">
        <v>46276</v>
      </c>
      <c r="J186" t="s">
        <v>4</v>
      </c>
      <c r="K186" t="s">
        <v>253</v>
      </c>
      <c r="L186" t="s">
        <v>254</v>
      </c>
      <c r="M186" s="8">
        <v>-3156.52</v>
      </c>
      <c r="N186" t="s">
        <v>0</v>
      </c>
      <c r="O186" t="s">
        <v>7</v>
      </c>
      <c r="P186" t="s">
        <v>8</v>
      </c>
    </row>
    <row r="187" spans="1:16" ht="13.95" customHeight="1" x14ac:dyDescent="0.25">
      <c r="A187" s="2" t="s">
        <v>0</v>
      </c>
      <c r="B187" t="s">
        <v>1</v>
      </c>
      <c r="C187" s="3">
        <v>46276</v>
      </c>
      <c r="D187" t="s">
        <v>2</v>
      </c>
      <c r="E187" t="s">
        <v>0</v>
      </c>
      <c r="F187" s="5">
        <v>122525</v>
      </c>
      <c r="G187" s="5" t="str">
        <f>VLOOKUP(F187,'[1]46974159BCSET2026'!$F:$AE,26,0)</f>
        <v>Sim</v>
      </c>
      <c r="H187" t="s">
        <v>3</v>
      </c>
      <c r="I187" s="3">
        <v>46276</v>
      </c>
      <c r="J187" t="s">
        <v>4</v>
      </c>
      <c r="K187" t="s">
        <v>58</v>
      </c>
      <c r="L187" t="s">
        <v>59</v>
      </c>
      <c r="M187" s="8">
        <v>-3031.32</v>
      </c>
      <c r="N187" t="s">
        <v>0</v>
      </c>
      <c r="O187" t="s">
        <v>7</v>
      </c>
      <c r="P187" t="s">
        <v>8</v>
      </c>
    </row>
    <row r="188" spans="1:16" ht="13.95" customHeight="1" x14ac:dyDescent="0.25">
      <c r="A188" s="2" t="s">
        <v>0</v>
      </c>
      <c r="B188" t="s">
        <v>1</v>
      </c>
      <c r="C188" s="3">
        <v>46276</v>
      </c>
      <c r="D188" t="s">
        <v>2</v>
      </c>
      <c r="E188" t="s">
        <v>0</v>
      </c>
      <c r="F188" s="5">
        <v>122505</v>
      </c>
      <c r="G188" s="5" t="str">
        <f>VLOOKUP(F188,'[1]46974159BCSET2026'!$F:$AE,26,0)</f>
        <v>Sim</v>
      </c>
      <c r="H188" t="s">
        <v>3</v>
      </c>
      <c r="I188" s="3">
        <v>46276</v>
      </c>
      <c r="J188" t="s">
        <v>4</v>
      </c>
      <c r="K188" t="s">
        <v>161</v>
      </c>
      <c r="L188" t="s">
        <v>162</v>
      </c>
      <c r="M188" s="8">
        <v>-2854.43</v>
      </c>
      <c r="N188" t="s">
        <v>0</v>
      </c>
      <c r="O188" t="s">
        <v>7</v>
      </c>
      <c r="P188" t="s">
        <v>8</v>
      </c>
    </row>
    <row r="189" spans="1:16" ht="13.95" customHeight="1" x14ac:dyDescent="0.25">
      <c r="A189" s="2" t="s">
        <v>0</v>
      </c>
      <c r="B189" t="s">
        <v>1</v>
      </c>
      <c r="C189" s="3">
        <v>46276</v>
      </c>
      <c r="D189" t="s">
        <v>2</v>
      </c>
      <c r="E189" t="s">
        <v>0</v>
      </c>
      <c r="F189" s="5">
        <v>122320</v>
      </c>
      <c r="G189" s="5" t="str">
        <f>VLOOKUP(F189,'[1]46974159BCSET2026'!$F:$AE,26,0)</f>
        <v>Sim</v>
      </c>
      <c r="H189" t="s">
        <v>3</v>
      </c>
      <c r="I189" s="3">
        <v>46276</v>
      </c>
      <c r="J189" t="s">
        <v>4</v>
      </c>
      <c r="K189" t="s">
        <v>271</v>
      </c>
      <c r="L189" t="s">
        <v>272</v>
      </c>
      <c r="M189" s="8">
        <v>-2763.42</v>
      </c>
      <c r="N189" t="s">
        <v>0</v>
      </c>
      <c r="O189" t="s">
        <v>7</v>
      </c>
      <c r="P189" t="s">
        <v>8</v>
      </c>
    </row>
    <row r="190" spans="1:16" ht="13.95" customHeight="1" x14ac:dyDescent="0.25">
      <c r="A190" s="2" t="s">
        <v>0</v>
      </c>
      <c r="B190" t="s">
        <v>1</v>
      </c>
      <c r="C190" s="3">
        <v>46276</v>
      </c>
      <c r="D190" t="s">
        <v>2</v>
      </c>
      <c r="E190" t="s">
        <v>0</v>
      </c>
      <c r="F190" s="5">
        <v>122221</v>
      </c>
      <c r="G190" s="5" t="str">
        <f>VLOOKUP(F190,'[1]46974159BCSET2026'!$F:$AE,26,0)</f>
        <v>Sim</v>
      </c>
      <c r="H190" t="s">
        <v>3</v>
      </c>
      <c r="I190" s="3">
        <v>46276</v>
      </c>
      <c r="J190" t="s">
        <v>4</v>
      </c>
      <c r="K190" t="s">
        <v>62</v>
      </c>
      <c r="L190" t="s">
        <v>63</v>
      </c>
      <c r="M190" s="8">
        <v>-2663.91</v>
      </c>
      <c r="N190" t="s">
        <v>0</v>
      </c>
      <c r="O190" t="s">
        <v>7</v>
      </c>
      <c r="P190" t="s">
        <v>8</v>
      </c>
    </row>
    <row r="191" spans="1:16" ht="13.95" customHeight="1" x14ac:dyDescent="0.25">
      <c r="A191" s="2" t="s">
        <v>0</v>
      </c>
      <c r="B191" t="s">
        <v>1</v>
      </c>
      <c r="C191" s="3">
        <v>46276</v>
      </c>
      <c r="D191" t="s">
        <v>2</v>
      </c>
      <c r="E191" t="s">
        <v>0</v>
      </c>
      <c r="F191" s="5">
        <v>122770</v>
      </c>
      <c r="G191" s="5" t="str">
        <f>VLOOKUP(F191,'[1]46974159BCSET2026'!$F:$AE,26,0)</f>
        <v>Sim</v>
      </c>
      <c r="H191" t="s">
        <v>3</v>
      </c>
      <c r="I191" s="3">
        <v>46276</v>
      </c>
      <c r="J191" t="s">
        <v>4</v>
      </c>
      <c r="K191" t="s">
        <v>197</v>
      </c>
      <c r="L191" t="s">
        <v>198</v>
      </c>
      <c r="M191" s="8">
        <v>-2577.91</v>
      </c>
      <c r="N191" t="s">
        <v>0</v>
      </c>
      <c r="O191" t="s">
        <v>7</v>
      </c>
      <c r="P191" t="s">
        <v>8</v>
      </c>
    </row>
    <row r="192" spans="1:16" ht="13.95" customHeight="1" x14ac:dyDescent="0.25">
      <c r="A192" s="2" t="s">
        <v>0</v>
      </c>
      <c r="B192" t="s">
        <v>1</v>
      </c>
      <c r="C192" s="3">
        <v>46276</v>
      </c>
      <c r="D192" t="s">
        <v>2</v>
      </c>
      <c r="E192" t="s">
        <v>0</v>
      </c>
      <c r="F192" s="5">
        <v>122660</v>
      </c>
      <c r="G192" s="5" t="str">
        <f>VLOOKUP(F192,'[1]46974159BCSET2026'!$F:$AE,26,0)</f>
        <v>Sim</v>
      </c>
      <c r="H192" t="s">
        <v>3</v>
      </c>
      <c r="I192" s="3">
        <v>46276</v>
      </c>
      <c r="J192" t="s">
        <v>4</v>
      </c>
      <c r="K192" t="s">
        <v>273</v>
      </c>
      <c r="L192" t="s">
        <v>274</v>
      </c>
      <c r="M192" s="8">
        <v>-2551.5</v>
      </c>
      <c r="N192" t="s">
        <v>0</v>
      </c>
      <c r="O192" t="s">
        <v>7</v>
      </c>
      <c r="P192" t="s">
        <v>8</v>
      </c>
    </row>
    <row r="193" spans="1:16" ht="13.95" customHeight="1" x14ac:dyDescent="0.25">
      <c r="A193" s="2" t="s">
        <v>0</v>
      </c>
      <c r="B193" t="s">
        <v>1</v>
      </c>
      <c r="C193" s="3">
        <v>46276</v>
      </c>
      <c r="D193" t="s">
        <v>2</v>
      </c>
      <c r="E193" t="s">
        <v>0</v>
      </c>
      <c r="F193" s="5">
        <v>122655</v>
      </c>
      <c r="G193" s="5" t="str">
        <f>VLOOKUP(F193,'[1]46974159BCSET2026'!$F:$AE,26,0)</f>
        <v>Sim</v>
      </c>
      <c r="H193" t="s">
        <v>3</v>
      </c>
      <c r="I193" s="3">
        <v>46276</v>
      </c>
      <c r="J193" t="s">
        <v>4</v>
      </c>
      <c r="K193" t="s">
        <v>275</v>
      </c>
      <c r="L193" t="s">
        <v>276</v>
      </c>
      <c r="M193" s="8">
        <v>-2448.98</v>
      </c>
      <c r="N193" t="s">
        <v>0</v>
      </c>
      <c r="O193" t="s">
        <v>7</v>
      </c>
      <c r="P193" t="s">
        <v>8</v>
      </c>
    </row>
    <row r="194" spans="1:16" ht="13.95" customHeight="1" x14ac:dyDescent="0.25">
      <c r="A194" s="2" t="s">
        <v>0</v>
      </c>
      <c r="B194" t="s">
        <v>1</v>
      </c>
      <c r="C194" s="3">
        <v>46276</v>
      </c>
      <c r="D194" t="s">
        <v>2</v>
      </c>
      <c r="E194" t="s">
        <v>0</v>
      </c>
      <c r="F194" s="5">
        <v>122444</v>
      </c>
      <c r="G194" s="5" t="str">
        <f>VLOOKUP(F194,'[1]46974159BCSET2026'!$F:$AE,26,0)</f>
        <v>Sim</v>
      </c>
      <c r="H194" t="s">
        <v>3</v>
      </c>
      <c r="I194" s="3">
        <v>46276</v>
      </c>
      <c r="J194" t="s">
        <v>4</v>
      </c>
      <c r="K194" t="s">
        <v>277</v>
      </c>
      <c r="L194" t="s">
        <v>278</v>
      </c>
      <c r="M194" s="8">
        <v>-2370.35</v>
      </c>
      <c r="N194" t="s">
        <v>0</v>
      </c>
      <c r="O194" t="s">
        <v>7</v>
      </c>
      <c r="P194" t="s">
        <v>8</v>
      </c>
    </row>
    <row r="195" spans="1:16" ht="13.95" customHeight="1" x14ac:dyDescent="0.25">
      <c r="A195" s="2" t="s">
        <v>0</v>
      </c>
      <c r="B195" t="s">
        <v>1</v>
      </c>
      <c r="C195" s="3">
        <v>46276</v>
      </c>
      <c r="D195" t="s">
        <v>2</v>
      </c>
      <c r="E195" t="s">
        <v>0</v>
      </c>
      <c r="F195" s="5">
        <v>122314</v>
      </c>
      <c r="G195" s="5" t="str">
        <f>VLOOKUP(F195,'[1]46974159BCSET2026'!$F:$AE,26,0)</f>
        <v>Sim</v>
      </c>
      <c r="H195" t="s">
        <v>3</v>
      </c>
      <c r="I195" s="3">
        <v>46276</v>
      </c>
      <c r="J195" t="s">
        <v>4</v>
      </c>
      <c r="K195" t="s">
        <v>279</v>
      </c>
      <c r="L195" t="s">
        <v>280</v>
      </c>
      <c r="M195" s="8">
        <v>-2352.4</v>
      </c>
      <c r="N195" t="s">
        <v>0</v>
      </c>
      <c r="O195" t="s">
        <v>7</v>
      </c>
      <c r="P195" t="s">
        <v>8</v>
      </c>
    </row>
    <row r="196" spans="1:16" ht="13.95" customHeight="1" x14ac:dyDescent="0.25">
      <c r="A196" s="2" t="s">
        <v>0</v>
      </c>
      <c r="B196" t="s">
        <v>1</v>
      </c>
      <c r="C196" s="3">
        <v>46276</v>
      </c>
      <c r="D196" t="s">
        <v>2</v>
      </c>
      <c r="E196" t="s">
        <v>0</v>
      </c>
      <c r="F196" s="5">
        <v>122273</v>
      </c>
      <c r="G196" s="5" t="str">
        <f>VLOOKUP(F196,'[1]46974159BCSET2026'!$F:$AE,26,0)</f>
        <v>Sim</v>
      </c>
      <c r="H196" t="s">
        <v>3</v>
      </c>
      <c r="I196" s="3">
        <v>46276</v>
      </c>
      <c r="J196" t="s">
        <v>4</v>
      </c>
      <c r="K196" t="s">
        <v>137</v>
      </c>
      <c r="L196" t="s">
        <v>138</v>
      </c>
      <c r="M196" s="8">
        <v>-2332.0100000000002</v>
      </c>
      <c r="N196" t="s">
        <v>0</v>
      </c>
      <c r="O196" t="s">
        <v>7</v>
      </c>
      <c r="P196" t="s">
        <v>8</v>
      </c>
    </row>
    <row r="197" spans="1:16" ht="13.95" customHeight="1" x14ac:dyDescent="0.25">
      <c r="A197" s="2" t="s">
        <v>0</v>
      </c>
      <c r="B197" t="s">
        <v>1</v>
      </c>
      <c r="C197" s="3">
        <v>46276</v>
      </c>
      <c r="D197" t="s">
        <v>2</v>
      </c>
      <c r="E197" t="s">
        <v>0</v>
      </c>
      <c r="F197" s="5">
        <v>122281</v>
      </c>
      <c r="G197" s="5" t="str">
        <f>VLOOKUP(F197,'[1]46974159BCSET2026'!$F:$AE,26,0)</f>
        <v>Sim</v>
      </c>
      <c r="H197" t="s">
        <v>3</v>
      </c>
      <c r="I197" s="3">
        <v>46276</v>
      </c>
      <c r="J197" t="s">
        <v>4</v>
      </c>
      <c r="K197" t="s">
        <v>157</v>
      </c>
      <c r="L197" t="s">
        <v>158</v>
      </c>
      <c r="M197" s="8">
        <v>-2304.46</v>
      </c>
      <c r="N197" t="s">
        <v>0</v>
      </c>
      <c r="O197" t="s">
        <v>7</v>
      </c>
      <c r="P197" t="s">
        <v>8</v>
      </c>
    </row>
    <row r="198" spans="1:16" ht="13.95" customHeight="1" x14ac:dyDescent="0.25">
      <c r="A198" s="2" t="s">
        <v>0</v>
      </c>
      <c r="B198" t="s">
        <v>1</v>
      </c>
      <c r="C198" s="3">
        <v>46276</v>
      </c>
      <c r="D198" t="s">
        <v>2</v>
      </c>
      <c r="E198" t="s">
        <v>0</v>
      </c>
      <c r="F198" s="5">
        <v>122510</v>
      </c>
      <c r="G198" s="5" t="str">
        <f>VLOOKUP(F198,'[1]46974159BCSET2026'!$F:$AE,26,0)</f>
        <v>Sim</v>
      </c>
      <c r="H198" t="s">
        <v>3</v>
      </c>
      <c r="I198" s="3">
        <v>46276</v>
      </c>
      <c r="J198" t="s">
        <v>4</v>
      </c>
      <c r="K198" t="s">
        <v>281</v>
      </c>
      <c r="L198" t="s">
        <v>282</v>
      </c>
      <c r="M198" s="8">
        <v>-2108.35</v>
      </c>
      <c r="N198" t="s">
        <v>0</v>
      </c>
      <c r="O198" t="s">
        <v>7</v>
      </c>
      <c r="P198" t="s">
        <v>8</v>
      </c>
    </row>
    <row r="199" spans="1:16" ht="13.95" customHeight="1" x14ac:dyDescent="0.25">
      <c r="A199" s="2" t="s">
        <v>0</v>
      </c>
      <c r="B199" t="s">
        <v>1</v>
      </c>
      <c r="C199" s="3">
        <v>46276</v>
      </c>
      <c r="D199" t="s">
        <v>2</v>
      </c>
      <c r="E199" t="s">
        <v>0</v>
      </c>
      <c r="F199" s="5">
        <v>122525</v>
      </c>
      <c r="G199" s="5" t="str">
        <f>VLOOKUP(F199,'[1]46974159BCSET2026'!$F:$AE,26,0)</f>
        <v>Sim</v>
      </c>
      <c r="H199" t="s">
        <v>3</v>
      </c>
      <c r="I199" s="3">
        <v>46276</v>
      </c>
      <c r="J199" t="s">
        <v>4</v>
      </c>
      <c r="K199" t="s">
        <v>58</v>
      </c>
      <c r="L199" t="s">
        <v>59</v>
      </c>
      <c r="M199" s="8">
        <v>-2003.88</v>
      </c>
      <c r="N199" t="s">
        <v>0</v>
      </c>
      <c r="O199" t="s">
        <v>7</v>
      </c>
      <c r="P199" t="s">
        <v>8</v>
      </c>
    </row>
    <row r="200" spans="1:16" ht="13.95" customHeight="1" x14ac:dyDescent="0.25">
      <c r="A200" s="2" t="s">
        <v>0</v>
      </c>
      <c r="B200" t="s">
        <v>1</v>
      </c>
      <c r="C200" s="3">
        <v>46276</v>
      </c>
      <c r="D200" t="s">
        <v>2</v>
      </c>
      <c r="E200" t="s">
        <v>0</v>
      </c>
      <c r="F200" s="5">
        <v>122513</v>
      </c>
      <c r="G200" s="5" t="str">
        <f>VLOOKUP(F200,'[1]46974159BCSET2026'!$F:$AE,26,0)</f>
        <v>Sim</v>
      </c>
      <c r="H200" t="s">
        <v>3</v>
      </c>
      <c r="I200" s="3">
        <v>46276</v>
      </c>
      <c r="J200" t="s">
        <v>4</v>
      </c>
      <c r="K200" t="s">
        <v>159</v>
      </c>
      <c r="L200" t="s">
        <v>160</v>
      </c>
      <c r="M200" s="8">
        <v>-1984.49</v>
      </c>
      <c r="N200" t="s">
        <v>0</v>
      </c>
      <c r="O200" t="s">
        <v>7</v>
      </c>
      <c r="P200" t="s">
        <v>8</v>
      </c>
    </row>
    <row r="201" spans="1:16" ht="13.95" customHeight="1" x14ac:dyDescent="0.25">
      <c r="A201" s="2" t="s">
        <v>0</v>
      </c>
      <c r="B201" t="s">
        <v>1</v>
      </c>
      <c r="C201" s="3">
        <v>46276</v>
      </c>
      <c r="D201" t="s">
        <v>2</v>
      </c>
      <c r="E201" t="s">
        <v>0</v>
      </c>
      <c r="F201" s="5">
        <v>122525</v>
      </c>
      <c r="G201" s="5" t="str">
        <f>VLOOKUP(F201,'[1]46974159BCSET2026'!$F:$AE,26,0)</f>
        <v>Sim</v>
      </c>
      <c r="H201" t="s">
        <v>3</v>
      </c>
      <c r="I201" s="3">
        <v>46276</v>
      </c>
      <c r="J201" t="s">
        <v>4</v>
      </c>
      <c r="K201" t="s">
        <v>58</v>
      </c>
      <c r="L201" t="s">
        <v>59</v>
      </c>
      <c r="M201" s="8">
        <v>-1916.09</v>
      </c>
      <c r="N201" t="s">
        <v>0</v>
      </c>
      <c r="O201" t="s">
        <v>7</v>
      </c>
      <c r="P201" t="s">
        <v>8</v>
      </c>
    </row>
    <row r="202" spans="1:16" ht="13.95" customHeight="1" x14ac:dyDescent="0.25">
      <c r="A202" s="2" t="s">
        <v>0</v>
      </c>
      <c r="B202" t="s">
        <v>1</v>
      </c>
      <c r="C202" s="3">
        <v>46276</v>
      </c>
      <c r="D202" t="s">
        <v>2</v>
      </c>
      <c r="E202" t="s">
        <v>0</v>
      </c>
      <c r="F202" s="5">
        <v>122203</v>
      </c>
      <c r="G202" s="5" t="str">
        <f>VLOOKUP(F202,'[1]46974159BCSET2026'!$F:$AE,26,0)</f>
        <v>Sim</v>
      </c>
      <c r="H202" t="s">
        <v>3</v>
      </c>
      <c r="I202" s="3">
        <v>46276</v>
      </c>
      <c r="J202" t="s">
        <v>4</v>
      </c>
      <c r="K202" t="s">
        <v>24</v>
      </c>
      <c r="L202" t="s">
        <v>25</v>
      </c>
      <c r="M202" s="8">
        <v>-1889.92</v>
      </c>
      <c r="N202" t="s">
        <v>0</v>
      </c>
      <c r="O202" t="s">
        <v>7</v>
      </c>
      <c r="P202" t="s">
        <v>8</v>
      </c>
    </row>
    <row r="203" spans="1:16" ht="13.95" customHeight="1" x14ac:dyDescent="0.25">
      <c r="A203" s="2" t="s">
        <v>0</v>
      </c>
      <c r="B203" t="s">
        <v>1</v>
      </c>
      <c r="C203" s="3">
        <v>46276</v>
      </c>
      <c r="D203" t="s">
        <v>2</v>
      </c>
      <c r="E203" t="s">
        <v>0</v>
      </c>
      <c r="F203" s="5">
        <v>122256</v>
      </c>
      <c r="G203" s="5" t="str">
        <f>VLOOKUP(F203,'[1]46974159BCSET2026'!$F:$AE,26,0)</f>
        <v>Sim</v>
      </c>
      <c r="H203" t="s">
        <v>3</v>
      </c>
      <c r="I203" s="3">
        <v>46276</v>
      </c>
      <c r="J203" t="s">
        <v>4</v>
      </c>
      <c r="K203" t="s">
        <v>267</v>
      </c>
      <c r="L203" t="s">
        <v>268</v>
      </c>
      <c r="M203" s="8">
        <v>-1867.35</v>
      </c>
      <c r="N203" t="s">
        <v>0</v>
      </c>
      <c r="O203" t="s">
        <v>7</v>
      </c>
      <c r="P203" t="s">
        <v>8</v>
      </c>
    </row>
    <row r="204" spans="1:16" ht="13.95" customHeight="1" x14ac:dyDescent="0.25">
      <c r="A204" s="2" t="s">
        <v>0</v>
      </c>
      <c r="B204" t="s">
        <v>1</v>
      </c>
      <c r="C204" s="3">
        <v>46276</v>
      </c>
      <c r="D204" t="s">
        <v>2</v>
      </c>
      <c r="E204" t="s">
        <v>0</v>
      </c>
      <c r="F204" s="5">
        <v>122573</v>
      </c>
      <c r="G204" s="5" t="str">
        <f>VLOOKUP(F204,'[1]46974159BCSET2026'!$F:$AE,26,0)</f>
        <v>Sim</v>
      </c>
      <c r="H204" t="s">
        <v>3</v>
      </c>
      <c r="I204" s="3">
        <v>46276</v>
      </c>
      <c r="J204" t="s">
        <v>4</v>
      </c>
      <c r="K204" t="s">
        <v>283</v>
      </c>
      <c r="L204" t="s">
        <v>284</v>
      </c>
      <c r="M204" s="8">
        <v>-1836.74</v>
      </c>
      <c r="N204" t="s">
        <v>0</v>
      </c>
      <c r="O204" t="s">
        <v>7</v>
      </c>
      <c r="P204" t="s">
        <v>8</v>
      </c>
    </row>
    <row r="205" spans="1:16" ht="13.95" customHeight="1" x14ac:dyDescent="0.25">
      <c r="A205" s="2" t="s">
        <v>0</v>
      </c>
      <c r="B205" t="s">
        <v>1</v>
      </c>
      <c r="C205" s="3">
        <v>46276</v>
      </c>
      <c r="D205" t="s">
        <v>2</v>
      </c>
      <c r="E205" t="s">
        <v>0</v>
      </c>
      <c r="F205" s="5">
        <v>122453</v>
      </c>
      <c r="G205" s="5" t="str">
        <f>VLOOKUP(F205,'[1]46974159BCSET2026'!$F:$AE,26,0)</f>
        <v>Sim</v>
      </c>
      <c r="H205" t="s">
        <v>3</v>
      </c>
      <c r="I205" s="3">
        <v>46276</v>
      </c>
      <c r="J205" t="s">
        <v>4</v>
      </c>
      <c r="K205" t="s">
        <v>285</v>
      </c>
      <c r="L205" t="s">
        <v>286</v>
      </c>
      <c r="M205" s="8">
        <v>-1836.74</v>
      </c>
      <c r="N205" t="s">
        <v>0</v>
      </c>
      <c r="O205" t="s">
        <v>7</v>
      </c>
      <c r="P205" t="s">
        <v>8</v>
      </c>
    </row>
    <row r="206" spans="1:16" ht="13.95" customHeight="1" x14ac:dyDescent="0.25">
      <c r="A206" s="2" t="s">
        <v>0</v>
      </c>
      <c r="B206" t="s">
        <v>1</v>
      </c>
      <c r="C206" s="3">
        <v>46276</v>
      </c>
      <c r="D206" t="s">
        <v>2</v>
      </c>
      <c r="E206" t="s">
        <v>0</v>
      </c>
      <c r="F206" s="5">
        <v>122456</v>
      </c>
      <c r="G206" s="5" t="str">
        <f>VLOOKUP(F206,'[1]46974159BCSET2026'!$F:$AE,26,0)</f>
        <v>Sim</v>
      </c>
      <c r="H206" t="s">
        <v>3</v>
      </c>
      <c r="I206" s="3">
        <v>46276</v>
      </c>
      <c r="J206" t="s">
        <v>4</v>
      </c>
      <c r="K206" t="s">
        <v>287</v>
      </c>
      <c r="L206" t="s">
        <v>288</v>
      </c>
      <c r="M206" s="8">
        <v>-1836.74</v>
      </c>
      <c r="N206" t="s">
        <v>0</v>
      </c>
      <c r="O206" t="s">
        <v>7</v>
      </c>
      <c r="P206" t="s">
        <v>8</v>
      </c>
    </row>
    <row r="207" spans="1:16" ht="13.95" customHeight="1" x14ac:dyDescent="0.25">
      <c r="A207" s="2" t="s">
        <v>0</v>
      </c>
      <c r="B207" t="s">
        <v>1</v>
      </c>
      <c r="C207" s="3">
        <v>46276</v>
      </c>
      <c r="D207" t="s">
        <v>2</v>
      </c>
      <c r="E207" t="s">
        <v>0</v>
      </c>
      <c r="F207" s="5">
        <v>122457</v>
      </c>
      <c r="G207" s="5" t="str">
        <f>VLOOKUP(F207,'[1]46974159BCSET2026'!$F:$AE,26,0)</f>
        <v>Sim</v>
      </c>
      <c r="H207" t="s">
        <v>3</v>
      </c>
      <c r="I207" s="3">
        <v>46276</v>
      </c>
      <c r="J207" t="s">
        <v>4</v>
      </c>
      <c r="K207" t="s">
        <v>289</v>
      </c>
      <c r="L207" t="s">
        <v>290</v>
      </c>
      <c r="M207" s="8">
        <v>-1836.74</v>
      </c>
      <c r="N207" t="s">
        <v>0</v>
      </c>
      <c r="O207" t="s">
        <v>7</v>
      </c>
      <c r="P207" t="s">
        <v>8</v>
      </c>
    </row>
    <row r="208" spans="1:16" ht="13.95" customHeight="1" x14ac:dyDescent="0.25">
      <c r="A208" s="2" t="s">
        <v>0</v>
      </c>
      <c r="B208" t="s">
        <v>1</v>
      </c>
      <c r="C208" s="3">
        <v>46276</v>
      </c>
      <c r="D208" t="s">
        <v>2</v>
      </c>
      <c r="E208" t="s">
        <v>0</v>
      </c>
      <c r="F208" s="5">
        <v>122623</v>
      </c>
      <c r="G208" s="5" t="str">
        <f>VLOOKUP(F208,'[1]46974159BCSET2026'!$F:$AE,26,0)</f>
        <v>Sim</v>
      </c>
      <c r="H208" t="s">
        <v>3</v>
      </c>
      <c r="I208" s="3">
        <v>46276</v>
      </c>
      <c r="J208" t="s">
        <v>4</v>
      </c>
      <c r="K208" t="s">
        <v>291</v>
      </c>
      <c r="L208" t="s">
        <v>292</v>
      </c>
      <c r="M208" s="8">
        <v>-1836.74</v>
      </c>
      <c r="N208" t="s">
        <v>0</v>
      </c>
      <c r="O208" t="s">
        <v>7</v>
      </c>
      <c r="P208" t="s">
        <v>8</v>
      </c>
    </row>
    <row r="209" spans="1:16" ht="13.95" customHeight="1" x14ac:dyDescent="0.25">
      <c r="A209" s="2" t="s">
        <v>0</v>
      </c>
      <c r="B209" t="s">
        <v>1</v>
      </c>
      <c r="C209" s="3">
        <v>46276</v>
      </c>
      <c r="D209" t="s">
        <v>2</v>
      </c>
      <c r="E209" t="s">
        <v>0</v>
      </c>
      <c r="F209" s="5">
        <v>122238</v>
      </c>
      <c r="G209" s="5" t="str">
        <f>VLOOKUP(F209,'[1]46974159BCSET2026'!$F:$AE,26,0)</f>
        <v>Sim</v>
      </c>
      <c r="H209" t="s">
        <v>3</v>
      </c>
      <c r="I209" s="3">
        <v>46276</v>
      </c>
      <c r="J209" t="s">
        <v>4</v>
      </c>
      <c r="K209" t="s">
        <v>237</v>
      </c>
      <c r="L209" t="s">
        <v>238</v>
      </c>
      <c r="M209" s="8">
        <v>-1761.78</v>
      </c>
      <c r="N209" t="s">
        <v>0</v>
      </c>
      <c r="O209" t="s">
        <v>7</v>
      </c>
      <c r="P209" t="s">
        <v>8</v>
      </c>
    </row>
    <row r="210" spans="1:16" ht="13.95" customHeight="1" x14ac:dyDescent="0.25">
      <c r="A210" s="2" t="s">
        <v>0</v>
      </c>
      <c r="B210" t="s">
        <v>1</v>
      </c>
      <c r="C210" s="3">
        <v>46276</v>
      </c>
      <c r="D210" t="s">
        <v>2</v>
      </c>
      <c r="E210" t="s">
        <v>0</v>
      </c>
      <c r="F210" s="5">
        <v>122261</v>
      </c>
      <c r="G210" s="5" t="str">
        <f>VLOOKUP(F210,'[1]46974159BCSET2026'!$F:$AE,26,0)</f>
        <v>Sim</v>
      </c>
      <c r="H210" t="s">
        <v>3</v>
      </c>
      <c r="I210" s="3">
        <v>46276</v>
      </c>
      <c r="J210" t="s">
        <v>4</v>
      </c>
      <c r="K210" t="s">
        <v>52</v>
      </c>
      <c r="L210" t="s">
        <v>53</v>
      </c>
      <c r="M210" s="8">
        <v>-1761.17</v>
      </c>
      <c r="N210" t="s">
        <v>0</v>
      </c>
      <c r="O210" t="s">
        <v>7</v>
      </c>
      <c r="P210" t="s">
        <v>8</v>
      </c>
    </row>
    <row r="211" spans="1:16" ht="13.95" customHeight="1" x14ac:dyDescent="0.25">
      <c r="A211" s="2" t="s">
        <v>0</v>
      </c>
      <c r="B211" t="s">
        <v>1</v>
      </c>
      <c r="C211" s="3">
        <v>46276</v>
      </c>
      <c r="D211" t="s">
        <v>2</v>
      </c>
      <c r="E211" t="s">
        <v>0</v>
      </c>
      <c r="F211" s="5">
        <v>122251</v>
      </c>
      <c r="G211" s="5" t="str">
        <f>VLOOKUP(F211,'[1]46974159BCSET2026'!$F:$AE,26,0)</f>
        <v>Sim</v>
      </c>
      <c r="H211" t="s">
        <v>3</v>
      </c>
      <c r="I211" s="3">
        <v>46276</v>
      </c>
      <c r="J211" t="s">
        <v>4</v>
      </c>
      <c r="K211" t="s">
        <v>179</v>
      </c>
      <c r="L211" t="s">
        <v>180</v>
      </c>
      <c r="M211" s="8">
        <v>-1755.1</v>
      </c>
      <c r="N211" t="s">
        <v>0</v>
      </c>
      <c r="O211" t="s">
        <v>7</v>
      </c>
      <c r="P211" t="s">
        <v>8</v>
      </c>
    </row>
    <row r="212" spans="1:16" ht="13.95" customHeight="1" x14ac:dyDescent="0.25">
      <c r="A212" s="2" t="s">
        <v>0</v>
      </c>
      <c r="B212" t="s">
        <v>1</v>
      </c>
      <c r="C212" s="3">
        <v>46276</v>
      </c>
      <c r="D212" t="s">
        <v>2</v>
      </c>
      <c r="E212" t="s">
        <v>0</v>
      </c>
      <c r="F212" s="5">
        <v>122238</v>
      </c>
      <c r="G212" s="5" t="str">
        <f>VLOOKUP(F212,'[1]46974159BCSET2026'!$F:$AE,26,0)</f>
        <v>Sim</v>
      </c>
      <c r="H212" t="s">
        <v>3</v>
      </c>
      <c r="I212" s="3">
        <v>46276</v>
      </c>
      <c r="J212" t="s">
        <v>4</v>
      </c>
      <c r="K212" t="s">
        <v>237</v>
      </c>
      <c r="L212" t="s">
        <v>238</v>
      </c>
      <c r="M212" s="8">
        <v>-1744.5</v>
      </c>
      <c r="N212" t="s">
        <v>0</v>
      </c>
      <c r="O212" t="s">
        <v>7</v>
      </c>
      <c r="P212" t="s">
        <v>8</v>
      </c>
    </row>
    <row r="213" spans="1:16" ht="13.95" customHeight="1" x14ac:dyDescent="0.25">
      <c r="A213" s="2" t="s">
        <v>0</v>
      </c>
      <c r="B213" t="s">
        <v>1</v>
      </c>
      <c r="C213" s="3">
        <v>46276</v>
      </c>
      <c r="D213" t="s">
        <v>2</v>
      </c>
      <c r="E213" t="s">
        <v>0</v>
      </c>
      <c r="F213" s="5">
        <v>122201</v>
      </c>
      <c r="G213" s="5" t="str">
        <f>VLOOKUP(F213,'[1]46974159BCSET2026'!$F:$AE,26,0)</f>
        <v>Sim</v>
      </c>
      <c r="H213" t="s">
        <v>3</v>
      </c>
      <c r="I213" s="3">
        <v>46276</v>
      </c>
      <c r="J213" t="s">
        <v>4</v>
      </c>
      <c r="K213" t="s">
        <v>133</v>
      </c>
      <c r="L213" t="s">
        <v>134</v>
      </c>
      <c r="M213" s="8">
        <v>-1737.21</v>
      </c>
      <c r="N213" t="s">
        <v>0</v>
      </c>
      <c r="O213" t="s">
        <v>7</v>
      </c>
      <c r="P213" t="s">
        <v>8</v>
      </c>
    </row>
    <row r="214" spans="1:16" ht="13.95" customHeight="1" x14ac:dyDescent="0.25">
      <c r="A214" s="2" t="s">
        <v>0</v>
      </c>
      <c r="B214" t="s">
        <v>1</v>
      </c>
      <c r="C214" s="3">
        <v>46276</v>
      </c>
      <c r="D214" t="s">
        <v>2</v>
      </c>
      <c r="E214" t="s">
        <v>0</v>
      </c>
      <c r="F214" s="5">
        <v>122709</v>
      </c>
      <c r="G214" s="5" t="str">
        <f>VLOOKUP(F214,'[1]46974159BCSET2026'!$F:$AE,26,0)</f>
        <v>Sim</v>
      </c>
      <c r="H214" t="s">
        <v>3</v>
      </c>
      <c r="I214" s="3">
        <v>46276</v>
      </c>
      <c r="J214" t="s">
        <v>4</v>
      </c>
      <c r="K214" t="s">
        <v>293</v>
      </c>
      <c r="L214" t="s">
        <v>294</v>
      </c>
      <c r="M214" s="8">
        <v>-1680.86</v>
      </c>
      <c r="N214" t="s">
        <v>0</v>
      </c>
      <c r="O214" t="s">
        <v>7</v>
      </c>
      <c r="P214" t="s">
        <v>8</v>
      </c>
    </row>
    <row r="215" spans="1:16" ht="13.95" customHeight="1" x14ac:dyDescent="0.25">
      <c r="A215" s="2" t="s">
        <v>0</v>
      </c>
      <c r="B215" t="s">
        <v>1</v>
      </c>
      <c r="C215" s="3">
        <v>46276</v>
      </c>
      <c r="D215" t="s">
        <v>2</v>
      </c>
      <c r="E215" t="s">
        <v>0</v>
      </c>
      <c r="F215" s="5">
        <v>122215</v>
      </c>
      <c r="G215" s="5" t="str">
        <f>VLOOKUP(F215,'[1]46974159BCSET2026'!$F:$AE,26,0)</f>
        <v>Sim</v>
      </c>
      <c r="H215" t="s">
        <v>3</v>
      </c>
      <c r="I215" s="3">
        <v>46276</v>
      </c>
      <c r="J215" t="s">
        <v>4</v>
      </c>
      <c r="K215" t="s">
        <v>213</v>
      </c>
      <c r="L215" t="s">
        <v>214</v>
      </c>
      <c r="M215" s="8">
        <v>-1633.62</v>
      </c>
      <c r="N215" t="s">
        <v>0</v>
      </c>
      <c r="O215" t="s">
        <v>7</v>
      </c>
      <c r="P215" t="s">
        <v>8</v>
      </c>
    </row>
    <row r="216" spans="1:16" ht="13.95" customHeight="1" x14ac:dyDescent="0.25">
      <c r="A216" s="2" t="s">
        <v>0</v>
      </c>
      <c r="B216" t="s">
        <v>1</v>
      </c>
      <c r="C216" s="3">
        <v>46276</v>
      </c>
      <c r="D216" t="s">
        <v>2</v>
      </c>
      <c r="E216" t="s">
        <v>0</v>
      </c>
      <c r="F216" s="5">
        <v>122792</v>
      </c>
      <c r="G216" s="5" t="str">
        <f>VLOOKUP(F216,'[1]46974159BCSET2026'!$F:$AE,26,0)</f>
        <v>Sim</v>
      </c>
      <c r="H216" t="s">
        <v>3</v>
      </c>
      <c r="I216" s="3">
        <v>46276</v>
      </c>
      <c r="J216" t="s">
        <v>4</v>
      </c>
      <c r="K216" t="s">
        <v>295</v>
      </c>
      <c r="L216" t="s">
        <v>296</v>
      </c>
      <c r="M216" s="8">
        <v>-1632.65</v>
      </c>
      <c r="N216" t="s">
        <v>0</v>
      </c>
      <c r="O216" t="s">
        <v>7</v>
      </c>
      <c r="P216" t="s">
        <v>8</v>
      </c>
    </row>
    <row r="217" spans="1:16" ht="13.95" customHeight="1" x14ac:dyDescent="0.25">
      <c r="A217" s="2" t="s">
        <v>0</v>
      </c>
      <c r="B217" t="s">
        <v>1</v>
      </c>
      <c r="C217" s="3">
        <v>46276</v>
      </c>
      <c r="D217" t="s">
        <v>2</v>
      </c>
      <c r="E217" t="s">
        <v>0</v>
      </c>
      <c r="F217" s="5">
        <v>122448</v>
      </c>
      <c r="G217" s="5" t="str">
        <f>VLOOKUP(F217,'[1]46974159BCSET2026'!$F:$AE,26,0)</f>
        <v>Sim</v>
      </c>
      <c r="H217" t="s">
        <v>3</v>
      </c>
      <c r="I217" s="3">
        <v>46276</v>
      </c>
      <c r="J217" t="s">
        <v>4</v>
      </c>
      <c r="K217" t="s">
        <v>297</v>
      </c>
      <c r="L217" t="s">
        <v>298</v>
      </c>
      <c r="M217" s="8">
        <v>-1632.65</v>
      </c>
      <c r="N217" t="s">
        <v>0</v>
      </c>
      <c r="O217" t="s">
        <v>7</v>
      </c>
      <c r="P217" t="s">
        <v>8</v>
      </c>
    </row>
    <row r="218" spans="1:16" ht="13.95" customHeight="1" x14ac:dyDescent="0.25">
      <c r="A218" s="2" t="s">
        <v>0</v>
      </c>
      <c r="B218" t="s">
        <v>1</v>
      </c>
      <c r="C218" s="3">
        <v>46276</v>
      </c>
      <c r="D218" t="s">
        <v>2</v>
      </c>
      <c r="E218" t="s">
        <v>0</v>
      </c>
      <c r="F218" s="5">
        <v>122616</v>
      </c>
      <c r="G218" s="5" t="str">
        <f>VLOOKUP(F218,'[1]46974159BCSET2026'!$F:$AE,26,0)</f>
        <v>Sim</v>
      </c>
      <c r="H218" t="s">
        <v>3</v>
      </c>
      <c r="I218" s="3">
        <v>46276</v>
      </c>
      <c r="J218" t="s">
        <v>4</v>
      </c>
      <c r="K218" t="s">
        <v>299</v>
      </c>
      <c r="L218" t="s">
        <v>300</v>
      </c>
      <c r="M218" s="8">
        <v>-1632.65</v>
      </c>
      <c r="N218" t="s">
        <v>0</v>
      </c>
      <c r="O218" t="s">
        <v>7</v>
      </c>
      <c r="P218" t="s">
        <v>8</v>
      </c>
    </row>
    <row r="219" spans="1:16" ht="13.95" customHeight="1" x14ac:dyDescent="0.25">
      <c r="A219" s="2" t="s">
        <v>0</v>
      </c>
      <c r="B219" t="s">
        <v>1</v>
      </c>
      <c r="C219" s="3">
        <v>46276</v>
      </c>
      <c r="D219" t="s">
        <v>2</v>
      </c>
      <c r="E219" t="s">
        <v>0</v>
      </c>
      <c r="F219" s="5">
        <v>122634</v>
      </c>
      <c r="G219" s="5" t="str">
        <f>VLOOKUP(F219,'[1]46974159BCSET2026'!$F:$AE,26,0)</f>
        <v>Sim</v>
      </c>
      <c r="H219" t="s">
        <v>3</v>
      </c>
      <c r="I219" s="3">
        <v>46276</v>
      </c>
      <c r="J219" t="s">
        <v>4</v>
      </c>
      <c r="K219" t="s">
        <v>28</v>
      </c>
      <c r="L219" t="s">
        <v>29</v>
      </c>
      <c r="M219" s="8">
        <v>-1611.09</v>
      </c>
      <c r="N219" t="s">
        <v>0</v>
      </c>
      <c r="O219" t="s">
        <v>7</v>
      </c>
      <c r="P219" t="s">
        <v>8</v>
      </c>
    </row>
    <row r="220" spans="1:16" ht="13.95" customHeight="1" x14ac:dyDescent="0.25">
      <c r="A220" s="2" t="s">
        <v>0</v>
      </c>
      <c r="B220" t="s">
        <v>1</v>
      </c>
      <c r="C220" s="3">
        <v>46276</v>
      </c>
      <c r="D220" t="s">
        <v>2</v>
      </c>
      <c r="E220" t="s">
        <v>0</v>
      </c>
      <c r="F220" s="5">
        <v>122682</v>
      </c>
      <c r="G220" s="5" t="str">
        <f>VLOOKUP(F220,'[1]46974159BCSET2026'!$F:$AE,26,0)</f>
        <v>Sim</v>
      </c>
      <c r="H220" t="s">
        <v>3</v>
      </c>
      <c r="I220" s="3">
        <v>46276</v>
      </c>
      <c r="J220" t="s">
        <v>4</v>
      </c>
      <c r="K220" t="s">
        <v>301</v>
      </c>
      <c r="L220" t="s">
        <v>302</v>
      </c>
      <c r="M220" s="8">
        <v>-1591.84</v>
      </c>
      <c r="N220" t="s">
        <v>0</v>
      </c>
      <c r="O220" t="s">
        <v>7</v>
      </c>
      <c r="P220" t="s">
        <v>8</v>
      </c>
    </row>
    <row r="221" spans="1:16" ht="13.95" customHeight="1" x14ac:dyDescent="0.25">
      <c r="A221" s="2" t="s">
        <v>0</v>
      </c>
      <c r="B221" t="s">
        <v>1</v>
      </c>
      <c r="C221" s="3">
        <v>46276</v>
      </c>
      <c r="D221" t="s">
        <v>2</v>
      </c>
      <c r="E221" t="s">
        <v>0</v>
      </c>
      <c r="F221" s="5">
        <v>122224</v>
      </c>
      <c r="G221" s="5" t="str">
        <f>VLOOKUP(F221,'[1]46974159BCSET2026'!$F:$AE,26,0)</f>
        <v>Sim</v>
      </c>
      <c r="H221" t="s">
        <v>3</v>
      </c>
      <c r="I221" s="3">
        <v>46276</v>
      </c>
      <c r="J221" t="s">
        <v>4</v>
      </c>
      <c r="K221" t="s">
        <v>22</v>
      </c>
      <c r="L221" t="s">
        <v>23</v>
      </c>
      <c r="M221" s="8">
        <v>-1573.45</v>
      </c>
      <c r="N221" t="s">
        <v>0</v>
      </c>
      <c r="O221" t="s">
        <v>7</v>
      </c>
      <c r="P221" t="s">
        <v>8</v>
      </c>
    </row>
    <row r="222" spans="1:16" ht="13.95" customHeight="1" x14ac:dyDescent="0.25">
      <c r="A222" s="2" t="s">
        <v>0</v>
      </c>
      <c r="B222" t="s">
        <v>1</v>
      </c>
      <c r="C222" s="3">
        <v>46276</v>
      </c>
      <c r="D222" t="s">
        <v>2</v>
      </c>
      <c r="E222" t="s">
        <v>0</v>
      </c>
      <c r="F222" s="5">
        <v>122213</v>
      </c>
      <c r="G222" s="5" t="str">
        <f>VLOOKUP(F222,'[1]46974159BCSET2026'!$F:$AE,26,0)</f>
        <v>Sim</v>
      </c>
      <c r="H222" t="s">
        <v>3</v>
      </c>
      <c r="I222" s="3">
        <v>46276</v>
      </c>
      <c r="J222" t="s">
        <v>4</v>
      </c>
      <c r="K222" t="s">
        <v>151</v>
      </c>
      <c r="L222" t="s">
        <v>152</v>
      </c>
      <c r="M222" s="8">
        <v>-1566.2</v>
      </c>
      <c r="N222" t="s">
        <v>0</v>
      </c>
      <c r="O222" t="s">
        <v>7</v>
      </c>
      <c r="P222" t="s">
        <v>8</v>
      </c>
    </row>
    <row r="223" spans="1:16" ht="13.95" customHeight="1" x14ac:dyDescent="0.25">
      <c r="A223" s="2" t="s">
        <v>0</v>
      </c>
      <c r="B223" t="s">
        <v>1</v>
      </c>
      <c r="C223" s="3">
        <v>46276</v>
      </c>
      <c r="D223" t="s">
        <v>2</v>
      </c>
      <c r="E223" t="s">
        <v>0</v>
      </c>
      <c r="F223" s="5">
        <v>122217</v>
      </c>
      <c r="G223" s="5" t="str">
        <f>VLOOKUP(F223,'[1]46974159BCSET2026'!$F:$AE,26,0)</f>
        <v>Sim</v>
      </c>
      <c r="H223" t="s">
        <v>3</v>
      </c>
      <c r="I223" s="3">
        <v>46276</v>
      </c>
      <c r="J223" t="s">
        <v>4</v>
      </c>
      <c r="K223" t="s">
        <v>42</v>
      </c>
      <c r="L223" t="s">
        <v>43</v>
      </c>
      <c r="M223" s="8">
        <v>-1533.47</v>
      </c>
      <c r="N223" t="s">
        <v>0</v>
      </c>
      <c r="O223" t="s">
        <v>7</v>
      </c>
      <c r="P223" t="s">
        <v>8</v>
      </c>
    </row>
    <row r="224" spans="1:16" ht="13.95" customHeight="1" x14ac:dyDescent="0.25">
      <c r="A224" s="2" t="s">
        <v>0</v>
      </c>
      <c r="B224" t="s">
        <v>1</v>
      </c>
      <c r="C224" s="3">
        <v>46276</v>
      </c>
      <c r="D224" t="s">
        <v>2</v>
      </c>
      <c r="E224" t="s">
        <v>0</v>
      </c>
      <c r="F224" s="5">
        <v>122667</v>
      </c>
      <c r="G224" s="5" t="str">
        <f>VLOOKUP(F224,'[1]46974159BCSET2026'!$F:$AE,26,0)</f>
        <v>Sim</v>
      </c>
      <c r="H224" t="s">
        <v>3</v>
      </c>
      <c r="I224" s="3">
        <v>46276</v>
      </c>
      <c r="J224" t="s">
        <v>4</v>
      </c>
      <c r="K224" t="s">
        <v>303</v>
      </c>
      <c r="L224" t="s">
        <v>304</v>
      </c>
      <c r="M224" s="8">
        <v>-1500.16</v>
      </c>
      <c r="N224" t="s">
        <v>0</v>
      </c>
      <c r="O224" t="s">
        <v>7</v>
      </c>
      <c r="P224" t="s">
        <v>8</v>
      </c>
    </row>
    <row r="225" spans="1:16" ht="13.95" customHeight="1" x14ac:dyDescent="0.25">
      <c r="A225" s="2" t="s">
        <v>0</v>
      </c>
      <c r="B225" t="s">
        <v>1</v>
      </c>
      <c r="C225" s="3">
        <v>46276</v>
      </c>
      <c r="D225" t="s">
        <v>2</v>
      </c>
      <c r="E225" t="s">
        <v>0</v>
      </c>
      <c r="F225" s="5">
        <v>122701</v>
      </c>
      <c r="G225" s="5" t="str">
        <f>VLOOKUP(F225,'[1]46974159BCSET2026'!$F:$AE,26,0)</f>
        <v>Sim</v>
      </c>
      <c r="H225" t="s">
        <v>3</v>
      </c>
      <c r="I225" s="3">
        <v>46276</v>
      </c>
      <c r="J225" t="s">
        <v>4</v>
      </c>
      <c r="K225" t="s">
        <v>305</v>
      </c>
      <c r="L225" t="s">
        <v>306</v>
      </c>
      <c r="M225" s="8">
        <v>-1496.99</v>
      </c>
      <c r="N225" t="s">
        <v>0</v>
      </c>
      <c r="O225" t="s">
        <v>7</v>
      </c>
      <c r="P225" t="s">
        <v>8</v>
      </c>
    </row>
    <row r="226" spans="1:16" ht="13.95" customHeight="1" x14ac:dyDescent="0.25">
      <c r="A226" s="2" t="s">
        <v>0</v>
      </c>
      <c r="B226" t="s">
        <v>1</v>
      </c>
      <c r="C226" s="3">
        <v>46276</v>
      </c>
      <c r="D226" t="s">
        <v>2</v>
      </c>
      <c r="E226" t="s">
        <v>0</v>
      </c>
      <c r="F226" s="5">
        <v>122795</v>
      </c>
      <c r="G226" s="5" t="str">
        <f>VLOOKUP(F226,'[1]46974159BCSET2026'!$F:$AE,26,0)</f>
        <v>Sim</v>
      </c>
      <c r="H226" t="s">
        <v>3</v>
      </c>
      <c r="I226" s="3">
        <v>46276</v>
      </c>
      <c r="J226" t="s">
        <v>4</v>
      </c>
      <c r="K226" t="s">
        <v>307</v>
      </c>
      <c r="L226" t="s">
        <v>308</v>
      </c>
      <c r="M226" s="8">
        <v>-1489.8</v>
      </c>
      <c r="N226" t="s">
        <v>0</v>
      </c>
      <c r="O226" t="s">
        <v>7</v>
      </c>
      <c r="P226" t="s">
        <v>8</v>
      </c>
    </row>
    <row r="227" spans="1:16" ht="13.95" customHeight="1" x14ac:dyDescent="0.25">
      <c r="A227" s="2" t="s">
        <v>0</v>
      </c>
      <c r="B227" t="s">
        <v>1</v>
      </c>
      <c r="C227" s="3">
        <v>46276</v>
      </c>
      <c r="D227" t="s">
        <v>2</v>
      </c>
      <c r="E227" t="s">
        <v>0</v>
      </c>
      <c r="F227" s="5">
        <v>122217</v>
      </c>
      <c r="G227" s="5" t="str">
        <f>VLOOKUP(F227,'[1]46974159BCSET2026'!$F:$AE,26,0)</f>
        <v>Sim</v>
      </c>
      <c r="H227" t="s">
        <v>3</v>
      </c>
      <c r="I227" s="3">
        <v>46276</v>
      </c>
      <c r="J227" t="s">
        <v>4</v>
      </c>
      <c r="K227" t="s">
        <v>42</v>
      </c>
      <c r="L227" t="s">
        <v>43</v>
      </c>
      <c r="M227" s="8">
        <v>-1471.23</v>
      </c>
      <c r="N227" t="s">
        <v>0</v>
      </c>
      <c r="O227" t="s">
        <v>7</v>
      </c>
      <c r="P227" t="s">
        <v>8</v>
      </c>
    </row>
    <row r="228" spans="1:16" ht="13.95" customHeight="1" x14ac:dyDescent="0.25">
      <c r="A228" s="2" t="s">
        <v>0</v>
      </c>
      <c r="B228" t="s">
        <v>1</v>
      </c>
      <c r="C228" s="3">
        <v>46276</v>
      </c>
      <c r="D228" t="s">
        <v>2</v>
      </c>
      <c r="E228" t="s">
        <v>0</v>
      </c>
      <c r="F228" s="5">
        <v>122364</v>
      </c>
      <c r="G228" s="5" t="str">
        <f>VLOOKUP(F228,'[1]46974159BCSET2026'!$F:$AE,26,0)</f>
        <v>Sim</v>
      </c>
      <c r="H228" t="s">
        <v>3</v>
      </c>
      <c r="I228" s="3">
        <v>46276</v>
      </c>
      <c r="J228" t="s">
        <v>4</v>
      </c>
      <c r="K228" t="s">
        <v>309</v>
      </c>
      <c r="L228" t="s">
        <v>310</v>
      </c>
      <c r="M228" s="8">
        <v>-1445.8</v>
      </c>
      <c r="N228" t="s">
        <v>0</v>
      </c>
      <c r="O228" t="s">
        <v>7</v>
      </c>
      <c r="P228" t="s">
        <v>8</v>
      </c>
    </row>
    <row r="229" spans="1:16" ht="13.95" customHeight="1" x14ac:dyDescent="0.25">
      <c r="A229" s="2" t="s">
        <v>0</v>
      </c>
      <c r="B229" t="s">
        <v>1</v>
      </c>
      <c r="C229" s="3">
        <v>46276</v>
      </c>
      <c r="D229" t="s">
        <v>2</v>
      </c>
      <c r="E229" t="s">
        <v>0</v>
      </c>
      <c r="F229" s="5">
        <v>122416</v>
      </c>
      <c r="G229" s="5" t="str">
        <f>VLOOKUP(F229,'[1]46974159BCSET2026'!$F:$AE,26,0)</f>
        <v>Sim</v>
      </c>
      <c r="H229" t="s">
        <v>3</v>
      </c>
      <c r="I229" s="3">
        <v>46276</v>
      </c>
      <c r="J229" t="s">
        <v>4</v>
      </c>
      <c r="K229" t="s">
        <v>311</v>
      </c>
      <c r="L229" t="s">
        <v>312</v>
      </c>
      <c r="M229" s="8">
        <v>-1428.57</v>
      </c>
      <c r="N229" t="s">
        <v>0</v>
      </c>
      <c r="O229" t="s">
        <v>7</v>
      </c>
      <c r="P229" t="s">
        <v>8</v>
      </c>
    </row>
    <row r="230" spans="1:16" ht="13.95" customHeight="1" x14ac:dyDescent="0.25">
      <c r="A230" s="2" t="s">
        <v>0</v>
      </c>
      <c r="B230" t="s">
        <v>1</v>
      </c>
      <c r="C230" s="3">
        <v>46276</v>
      </c>
      <c r="D230" t="s">
        <v>2</v>
      </c>
      <c r="E230" t="s">
        <v>0</v>
      </c>
      <c r="F230" s="5">
        <v>122189</v>
      </c>
      <c r="G230" s="5" t="str">
        <f>VLOOKUP(F230,'[1]46974159BCSET2026'!$F:$AE,26,0)</f>
        <v>Sim</v>
      </c>
      <c r="H230" t="s">
        <v>3</v>
      </c>
      <c r="I230" s="3">
        <v>46276</v>
      </c>
      <c r="J230" t="s">
        <v>4</v>
      </c>
      <c r="K230" t="s">
        <v>313</v>
      </c>
      <c r="L230" t="s">
        <v>314</v>
      </c>
      <c r="M230" s="8">
        <v>-1423.38</v>
      </c>
      <c r="N230" t="s">
        <v>0</v>
      </c>
      <c r="O230" t="s">
        <v>7</v>
      </c>
      <c r="P230" t="s">
        <v>8</v>
      </c>
    </row>
    <row r="231" spans="1:16" ht="13.95" hidden="1" customHeight="1" x14ac:dyDescent="0.25">
      <c r="A231" s="2" t="s">
        <v>0</v>
      </c>
      <c r="B231" t="s">
        <v>1</v>
      </c>
      <c r="C231" s="3">
        <v>46275</v>
      </c>
      <c r="D231" t="s">
        <v>19</v>
      </c>
      <c r="E231" t="s">
        <v>0</v>
      </c>
      <c r="F231" s="5">
        <v>0</v>
      </c>
      <c r="G231" s="5" t="e">
        <f>VLOOKUP(F231,'[1]46974159BCSET2026'!$F:$AE,26,0)</f>
        <v>#N/A</v>
      </c>
      <c r="H231" t="s">
        <v>3</v>
      </c>
      <c r="I231" s="3">
        <v>46275</v>
      </c>
      <c r="J231" t="s">
        <v>1281</v>
      </c>
      <c r="K231" t="s">
        <v>1289</v>
      </c>
      <c r="L231" t="s">
        <v>1283</v>
      </c>
      <c r="M231" s="8">
        <v>21091.31</v>
      </c>
      <c r="N231" t="s">
        <v>0</v>
      </c>
      <c r="O231" t="s">
        <v>7</v>
      </c>
      <c r="P231" t="s">
        <v>8</v>
      </c>
    </row>
    <row r="232" spans="1:16" ht="13.95" customHeight="1" x14ac:dyDescent="0.25">
      <c r="A232" s="2" t="s">
        <v>0</v>
      </c>
      <c r="B232" t="s">
        <v>1</v>
      </c>
      <c r="C232" s="3">
        <v>46279</v>
      </c>
      <c r="D232" t="s">
        <v>176</v>
      </c>
      <c r="E232" t="s">
        <v>0</v>
      </c>
      <c r="F232" s="5">
        <v>122187</v>
      </c>
      <c r="G232" s="5" t="str">
        <f>VLOOKUP(F232,'[1]46974159BCSET2026'!$F:$AE,26,0)</f>
        <v>Sim</v>
      </c>
      <c r="H232" t="s">
        <v>3</v>
      </c>
      <c r="I232" s="3">
        <v>46279</v>
      </c>
      <c r="J232" t="s">
        <v>4</v>
      </c>
      <c r="K232" t="s">
        <v>177</v>
      </c>
      <c r="L232" t="s">
        <v>178</v>
      </c>
      <c r="M232" s="8">
        <v>-1400.25</v>
      </c>
      <c r="N232" t="s">
        <v>0</v>
      </c>
      <c r="O232" t="s">
        <v>7</v>
      </c>
      <c r="P232" t="s">
        <v>8</v>
      </c>
    </row>
    <row r="233" spans="1:16" ht="13.95" customHeight="1" x14ac:dyDescent="0.25">
      <c r="A233" s="2" t="s">
        <v>0</v>
      </c>
      <c r="B233" t="s">
        <v>1</v>
      </c>
      <c r="C233" s="3">
        <v>46276</v>
      </c>
      <c r="D233" t="s">
        <v>2</v>
      </c>
      <c r="E233" t="s">
        <v>0</v>
      </c>
      <c r="F233" s="5">
        <v>122495</v>
      </c>
      <c r="G233" s="5" t="str">
        <f>VLOOKUP(F233,'[1]46974159BCSET2026'!$F:$AE,26,0)</f>
        <v>Sim</v>
      </c>
      <c r="H233" t="s">
        <v>3</v>
      </c>
      <c r="I233" s="3">
        <v>46276</v>
      </c>
      <c r="J233" t="s">
        <v>4</v>
      </c>
      <c r="K233" t="s">
        <v>315</v>
      </c>
      <c r="L233" t="s">
        <v>316</v>
      </c>
      <c r="M233" s="8">
        <v>-1387.76</v>
      </c>
      <c r="N233" t="s">
        <v>0</v>
      </c>
      <c r="O233" t="s">
        <v>7</v>
      </c>
      <c r="P233" t="s">
        <v>8</v>
      </c>
    </row>
    <row r="234" spans="1:16" ht="13.95" customHeight="1" x14ac:dyDescent="0.25">
      <c r="A234" s="2" t="s">
        <v>0</v>
      </c>
      <c r="B234" t="s">
        <v>1</v>
      </c>
      <c r="C234" s="3">
        <v>46276</v>
      </c>
      <c r="D234" t="s">
        <v>2</v>
      </c>
      <c r="E234" t="s">
        <v>0</v>
      </c>
      <c r="F234" s="5">
        <v>122660</v>
      </c>
      <c r="G234" s="5" t="str">
        <f>VLOOKUP(F234,'[1]46974159BCSET2026'!$F:$AE,26,0)</f>
        <v>Sim</v>
      </c>
      <c r="H234" t="s">
        <v>3</v>
      </c>
      <c r="I234" s="3">
        <v>46276</v>
      </c>
      <c r="J234" t="s">
        <v>4</v>
      </c>
      <c r="K234" t="s">
        <v>273</v>
      </c>
      <c r="L234" t="s">
        <v>274</v>
      </c>
      <c r="M234" s="8">
        <v>-1376.25</v>
      </c>
      <c r="N234" t="s">
        <v>0</v>
      </c>
      <c r="O234" t="s">
        <v>7</v>
      </c>
      <c r="P234" t="s">
        <v>8</v>
      </c>
    </row>
    <row r="235" spans="1:16" ht="13.95" customHeight="1" x14ac:dyDescent="0.25">
      <c r="A235" s="2" t="s">
        <v>0</v>
      </c>
      <c r="B235" t="s">
        <v>1</v>
      </c>
      <c r="C235" s="3">
        <v>46276</v>
      </c>
      <c r="D235" t="s">
        <v>2</v>
      </c>
      <c r="E235" t="s">
        <v>0</v>
      </c>
      <c r="F235" s="5">
        <v>122639</v>
      </c>
      <c r="G235" s="5" t="str">
        <f>VLOOKUP(F235,'[1]46974159BCSET2026'!$F:$AE,26,0)</f>
        <v>Sim</v>
      </c>
      <c r="H235" t="s">
        <v>3</v>
      </c>
      <c r="I235" s="3">
        <v>46276</v>
      </c>
      <c r="J235" t="s">
        <v>4</v>
      </c>
      <c r="K235" t="s">
        <v>93</v>
      </c>
      <c r="L235" t="s">
        <v>94</v>
      </c>
      <c r="M235" s="8">
        <v>-1331.92</v>
      </c>
      <c r="N235" t="s">
        <v>0</v>
      </c>
      <c r="O235" t="s">
        <v>7</v>
      </c>
      <c r="P235" t="s">
        <v>8</v>
      </c>
    </row>
    <row r="236" spans="1:16" ht="13.95" customHeight="1" x14ac:dyDescent="0.25">
      <c r="A236" s="2" t="s">
        <v>0</v>
      </c>
      <c r="B236" t="s">
        <v>1</v>
      </c>
      <c r="C236" s="3">
        <v>46276</v>
      </c>
      <c r="D236" t="s">
        <v>2</v>
      </c>
      <c r="E236" t="s">
        <v>0</v>
      </c>
      <c r="F236" s="5">
        <v>122693</v>
      </c>
      <c r="G236" s="5" t="str">
        <f>VLOOKUP(F236,'[1]46974159BCSET2026'!$F:$AE,26,0)</f>
        <v>Sim</v>
      </c>
      <c r="H236" t="s">
        <v>3</v>
      </c>
      <c r="I236" s="3">
        <v>46276</v>
      </c>
      <c r="J236" t="s">
        <v>4</v>
      </c>
      <c r="K236" t="s">
        <v>317</v>
      </c>
      <c r="L236" t="s">
        <v>318</v>
      </c>
      <c r="M236" s="8">
        <v>-1330</v>
      </c>
      <c r="N236" t="s">
        <v>0</v>
      </c>
      <c r="O236" t="s">
        <v>7</v>
      </c>
      <c r="P236" t="s">
        <v>8</v>
      </c>
    </row>
    <row r="237" spans="1:16" ht="13.95" customHeight="1" x14ac:dyDescent="0.25">
      <c r="A237" s="2" t="s">
        <v>0</v>
      </c>
      <c r="B237" t="s">
        <v>1</v>
      </c>
      <c r="C237" s="3">
        <v>46276</v>
      </c>
      <c r="D237" t="s">
        <v>2</v>
      </c>
      <c r="E237" t="s">
        <v>0</v>
      </c>
      <c r="F237" s="5">
        <v>122711</v>
      </c>
      <c r="G237" s="5" t="str">
        <f>VLOOKUP(F237,'[1]46974159BCSET2026'!$F:$AE,26,0)</f>
        <v>Sim</v>
      </c>
      <c r="H237" t="s">
        <v>3</v>
      </c>
      <c r="I237" s="3">
        <v>46276</v>
      </c>
      <c r="J237" t="s">
        <v>4</v>
      </c>
      <c r="K237" t="s">
        <v>319</v>
      </c>
      <c r="L237" t="s">
        <v>320</v>
      </c>
      <c r="M237" s="8">
        <v>-1298.81</v>
      </c>
      <c r="N237" t="s">
        <v>0</v>
      </c>
      <c r="O237" t="s">
        <v>7</v>
      </c>
      <c r="P237" t="s">
        <v>8</v>
      </c>
    </row>
    <row r="238" spans="1:16" ht="13.95" customHeight="1" x14ac:dyDescent="0.25">
      <c r="A238" s="2" t="s">
        <v>0</v>
      </c>
      <c r="B238" t="s">
        <v>1</v>
      </c>
      <c r="C238" s="3">
        <v>46276</v>
      </c>
      <c r="D238" t="s">
        <v>2</v>
      </c>
      <c r="E238" t="s">
        <v>0</v>
      </c>
      <c r="F238" s="5">
        <v>122275</v>
      </c>
      <c r="G238" s="5" t="str">
        <f>VLOOKUP(F238,'[1]46974159BCSET2026'!$F:$AE,26,0)</f>
        <v>Sim</v>
      </c>
      <c r="H238" t="s">
        <v>3</v>
      </c>
      <c r="I238" s="3">
        <v>46276</v>
      </c>
      <c r="J238" t="s">
        <v>4</v>
      </c>
      <c r="K238" t="s">
        <v>5</v>
      </c>
      <c r="L238" t="s">
        <v>6</v>
      </c>
      <c r="M238" s="8">
        <v>-1295.51</v>
      </c>
      <c r="N238" t="s">
        <v>0</v>
      </c>
      <c r="O238" t="s">
        <v>7</v>
      </c>
      <c r="P238" t="s">
        <v>8</v>
      </c>
    </row>
    <row r="239" spans="1:16" ht="13.95" customHeight="1" x14ac:dyDescent="0.25">
      <c r="A239" s="2" t="s">
        <v>0</v>
      </c>
      <c r="B239" t="s">
        <v>1</v>
      </c>
      <c r="C239" s="3">
        <v>46276</v>
      </c>
      <c r="D239" t="s">
        <v>2</v>
      </c>
      <c r="E239" t="s">
        <v>0</v>
      </c>
      <c r="F239" s="5">
        <v>122550</v>
      </c>
      <c r="G239" s="5" t="str">
        <f>VLOOKUP(F239,'[1]46974159BCSET2026'!$F:$AE,26,0)</f>
        <v>Sim</v>
      </c>
      <c r="H239" t="s">
        <v>3</v>
      </c>
      <c r="I239" s="3">
        <v>46276</v>
      </c>
      <c r="J239" t="s">
        <v>4</v>
      </c>
      <c r="K239" t="s">
        <v>321</v>
      </c>
      <c r="L239" t="s">
        <v>322</v>
      </c>
      <c r="M239" s="8">
        <v>-1280.79</v>
      </c>
      <c r="N239" t="s">
        <v>0</v>
      </c>
      <c r="O239" t="s">
        <v>7</v>
      </c>
      <c r="P239" t="s">
        <v>8</v>
      </c>
    </row>
    <row r="240" spans="1:16" ht="13.95" customHeight="1" x14ac:dyDescent="0.25">
      <c r="A240" s="2" t="s">
        <v>0</v>
      </c>
      <c r="B240" t="s">
        <v>1</v>
      </c>
      <c r="C240" s="3">
        <v>46276</v>
      </c>
      <c r="D240" t="s">
        <v>2</v>
      </c>
      <c r="E240" t="s">
        <v>0</v>
      </c>
      <c r="F240" s="5">
        <v>122539</v>
      </c>
      <c r="G240" s="5" t="str">
        <f>VLOOKUP(F240,'[1]46974159BCSET2026'!$F:$AE,26,0)</f>
        <v>Sim</v>
      </c>
      <c r="H240" t="s">
        <v>3</v>
      </c>
      <c r="I240" s="3">
        <v>46276</v>
      </c>
      <c r="J240" t="s">
        <v>4</v>
      </c>
      <c r="K240" t="s">
        <v>199</v>
      </c>
      <c r="L240" t="s">
        <v>200</v>
      </c>
      <c r="M240" s="8">
        <v>-1273.6199999999999</v>
      </c>
      <c r="N240" t="s">
        <v>0</v>
      </c>
      <c r="O240" t="s">
        <v>7</v>
      </c>
      <c r="P240" t="s">
        <v>8</v>
      </c>
    </row>
    <row r="241" spans="1:16" ht="13.95" customHeight="1" x14ac:dyDescent="0.25">
      <c r="A241" s="2" t="s">
        <v>0</v>
      </c>
      <c r="B241" t="s">
        <v>1</v>
      </c>
      <c r="C241" s="3">
        <v>46276</v>
      </c>
      <c r="D241" t="s">
        <v>2</v>
      </c>
      <c r="E241" t="s">
        <v>0</v>
      </c>
      <c r="F241" s="5">
        <v>122508</v>
      </c>
      <c r="G241" s="5" t="str">
        <f>VLOOKUP(F241,'[1]46974159BCSET2026'!$F:$AE,26,0)</f>
        <v>Sim</v>
      </c>
      <c r="H241" t="s">
        <v>3</v>
      </c>
      <c r="I241" s="3">
        <v>46276</v>
      </c>
      <c r="J241" t="s">
        <v>4</v>
      </c>
      <c r="K241" t="s">
        <v>205</v>
      </c>
      <c r="L241" t="s">
        <v>206</v>
      </c>
      <c r="M241" s="8">
        <v>-1264.6600000000001</v>
      </c>
      <c r="N241" t="s">
        <v>0</v>
      </c>
      <c r="O241" t="s">
        <v>7</v>
      </c>
      <c r="P241" t="s">
        <v>8</v>
      </c>
    </row>
    <row r="242" spans="1:16" ht="13.95" customHeight="1" x14ac:dyDescent="0.25">
      <c r="A242" s="2" t="s">
        <v>0</v>
      </c>
      <c r="B242" t="s">
        <v>1</v>
      </c>
      <c r="C242" s="3">
        <v>46276</v>
      </c>
      <c r="D242" t="s">
        <v>2</v>
      </c>
      <c r="E242" t="s">
        <v>0</v>
      </c>
      <c r="F242" s="5">
        <v>122631</v>
      </c>
      <c r="G242" s="5" t="str">
        <f>VLOOKUP(F242,'[1]46974159BCSET2026'!$F:$AE,26,0)</f>
        <v>Sim</v>
      </c>
      <c r="H242" t="s">
        <v>3</v>
      </c>
      <c r="I242" s="3">
        <v>46276</v>
      </c>
      <c r="J242" t="s">
        <v>4</v>
      </c>
      <c r="K242" t="s">
        <v>323</v>
      </c>
      <c r="L242" t="s">
        <v>324</v>
      </c>
      <c r="M242" s="8">
        <v>-1230.17</v>
      </c>
      <c r="N242" t="s">
        <v>0</v>
      </c>
      <c r="O242" t="s">
        <v>7</v>
      </c>
      <c r="P242" t="s">
        <v>8</v>
      </c>
    </row>
    <row r="243" spans="1:16" ht="13.95" customHeight="1" x14ac:dyDescent="0.25">
      <c r="A243" s="2" t="s">
        <v>0</v>
      </c>
      <c r="B243" t="s">
        <v>1</v>
      </c>
      <c r="C243" s="3">
        <v>46276</v>
      </c>
      <c r="D243" t="s">
        <v>2</v>
      </c>
      <c r="E243" t="s">
        <v>0</v>
      </c>
      <c r="F243" s="5">
        <v>122236</v>
      </c>
      <c r="G243" s="5" t="str">
        <f>VLOOKUP(F243,'[1]46974159BCSET2026'!$F:$AE,26,0)</f>
        <v>Sim</v>
      </c>
      <c r="H243" t="s">
        <v>3</v>
      </c>
      <c r="I243" s="3">
        <v>46276</v>
      </c>
      <c r="J243" t="s">
        <v>4</v>
      </c>
      <c r="K243" t="s">
        <v>203</v>
      </c>
      <c r="L243" t="s">
        <v>204</v>
      </c>
      <c r="M243" s="8">
        <v>-1224.49</v>
      </c>
      <c r="N243" t="s">
        <v>0</v>
      </c>
      <c r="O243" t="s">
        <v>7</v>
      </c>
      <c r="P243" t="s">
        <v>8</v>
      </c>
    </row>
    <row r="244" spans="1:16" ht="13.95" customHeight="1" x14ac:dyDescent="0.25">
      <c r="A244" s="2" t="s">
        <v>0</v>
      </c>
      <c r="B244" t="s">
        <v>1</v>
      </c>
      <c r="C244" s="3">
        <v>46276</v>
      </c>
      <c r="D244" t="s">
        <v>2</v>
      </c>
      <c r="E244" t="s">
        <v>0</v>
      </c>
      <c r="F244" s="5">
        <v>122686</v>
      </c>
      <c r="G244" s="5" t="str">
        <f>VLOOKUP(F244,'[1]46974159BCSET2026'!$F:$AE,26,0)</f>
        <v>Sim</v>
      </c>
      <c r="H244" t="s">
        <v>3</v>
      </c>
      <c r="I244" s="3">
        <v>46276</v>
      </c>
      <c r="J244" t="s">
        <v>4</v>
      </c>
      <c r="K244" t="s">
        <v>325</v>
      </c>
      <c r="L244" t="s">
        <v>326</v>
      </c>
      <c r="M244" s="8">
        <v>-1224.49</v>
      </c>
      <c r="N244" t="s">
        <v>0</v>
      </c>
      <c r="O244" t="s">
        <v>7</v>
      </c>
      <c r="P244" t="s">
        <v>8</v>
      </c>
    </row>
    <row r="245" spans="1:16" ht="13.95" customHeight="1" x14ac:dyDescent="0.25">
      <c r="A245" s="2" t="s">
        <v>0</v>
      </c>
      <c r="B245" t="s">
        <v>1</v>
      </c>
      <c r="C245" s="3">
        <v>46276</v>
      </c>
      <c r="D245" t="s">
        <v>2</v>
      </c>
      <c r="E245" t="s">
        <v>0</v>
      </c>
      <c r="F245" s="5">
        <v>122425</v>
      </c>
      <c r="G245" s="5" t="str">
        <f>VLOOKUP(F245,'[1]46974159BCSET2026'!$F:$AE,26,0)</f>
        <v>Sim</v>
      </c>
      <c r="H245" t="s">
        <v>3</v>
      </c>
      <c r="I245" s="3">
        <v>46276</v>
      </c>
      <c r="J245" t="s">
        <v>4</v>
      </c>
      <c r="K245" t="s">
        <v>209</v>
      </c>
      <c r="L245" t="s">
        <v>210</v>
      </c>
      <c r="M245" s="8">
        <v>-1224.49</v>
      </c>
      <c r="N245" t="s">
        <v>0</v>
      </c>
      <c r="O245" t="s">
        <v>7</v>
      </c>
      <c r="P245" t="s">
        <v>8</v>
      </c>
    </row>
    <row r="246" spans="1:16" ht="13.95" customHeight="1" x14ac:dyDescent="0.25">
      <c r="A246" s="2" t="s">
        <v>0</v>
      </c>
      <c r="B246" t="s">
        <v>1</v>
      </c>
      <c r="C246" s="3">
        <v>46276</v>
      </c>
      <c r="D246" t="s">
        <v>2</v>
      </c>
      <c r="E246" t="s">
        <v>0</v>
      </c>
      <c r="F246" s="5">
        <v>122673</v>
      </c>
      <c r="G246" s="5" t="str">
        <f>VLOOKUP(F246,'[1]46974159BCSET2026'!$F:$AE,26,0)</f>
        <v>Sim</v>
      </c>
      <c r="H246" t="s">
        <v>3</v>
      </c>
      <c r="I246" s="3">
        <v>46276</v>
      </c>
      <c r="J246" t="s">
        <v>4</v>
      </c>
      <c r="K246" t="s">
        <v>327</v>
      </c>
      <c r="L246" t="s">
        <v>328</v>
      </c>
      <c r="M246" s="8">
        <v>-1218</v>
      </c>
      <c r="N246" t="s">
        <v>0</v>
      </c>
      <c r="O246" t="s">
        <v>7</v>
      </c>
      <c r="P246" t="s">
        <v>8</v>
      </c>
    </row>
    <row r="247" spans="1:16" ht="13.95" customHeight="1" x14ac:dyDescent="0.25">
      <c r="A247" s="2" t="s">
        <v>0</v>
      </c>
      <c r="B247" t="s">
        <v>1</v>
      </c>
      <c r="C247" s="3">
        <v>46275</v>
      </c>
      <c r="D247" t="s">
        <v>19</v>
      </c>
      <c r="E247" t="s">
        <v>0</v>
      </c>
      <c r="F247" s="5">
        <v>122185</v>
      </c>
      <c r="G247" s="5" t="str">
        <f>VLOOKUP(F247,'[1]46974159BCSET2026'!$F:$AE,26,0)</f>
        <v>Sim</v>
      </c>
      <c r="H247" t="s">
        <v>3</v>
      </c>
      <c r="I247" s="3">
        <v>46275</v>
      </c>
      <c r="J247" t="s">
        <v>4</v>
      </c>
      <c r="K247" t="s">
        <v>329</v>
      </c>
      <c r="L247" t="s">
        <v>330</v>
      </c>
      <c r="M247" s="8">
        <v>-1207.9000000000001</v>
      </c>
      <c r="N247" t="s">
        <v>0</v>
      </c>
      <c r="O247" t="s">
        <v>7</v>
      </c>
      <c r="P247" t="s">
        <v>8</v>
      </c>
    </row>
    <row r="248" spans="1:16" ht="13.95" customHeight="1" x14ac:dyDescent="0.25">
      <c r="A248" s="2" t="s">
        <v>0</v>
      </c>
      <c r="B248" t="s">
        <v>1</v>
      </c>
      <c r="C248" s="3">
        <v>46276</v>
      </c>
      <c r="D248" t="s">
        <v>2</v>
      </c>
      <c r="E248" t="s">
        <v>0</v>
      </c>
      <c r="F248" s="5">
        <v>122513</v>
      </c>
      <c r="G248" s="5" t="str">
        <f>VLOOKUP(F248,'[1]46974159BCSET2026'!$F:$AE,26,0)</f>
        <v>Sim</v>
      </c>
      <c r="H248" t="s">
        <v>3</v>
      </c>
      <c r="I248" s="3">
        <v>46276</v>
      </c>
      <c r="J248" t="s">
        <v>4</v>
      </c>
      <c r="K248" t="s">
        <v>159</v>
      </c>
      <c r="L248" t="s">
        <v>160</v>
      </c>
      <c r="M248" s="8">
        <v>-1190.3</v>
      </c>
      <c r="N248" t="s">
        <v>0</v>
      </c>
      <c r="O248" t="s">
        <v>7</v>
      </c>
      <c r="P248" t="s">
        <v>8</v>
      </c>
    </row>
    <row r="249" spans="1:16" ht="13.95" customHeight="1" x14ac:dyDescent="0.25">
      <c r="A249" s="2" t="s">
        <v>0</v>
      </c>
      <c r="B249" t="s">
        <v>1</v>
      </c>
      <c r="C249" s="3">
        <v>46276</v>
      </c>
      <c r="D249" t="s">
        <v>2</v>
      </c>
      <c r="E249" t="s">
        <v>0</v>
      </c>
      <c r="F249" s="5">
        <v>122295</v>
      </c>
      <c r="G249" s="5" t="str">
        <f>VLOOKUP(F249,'[1]46974159BCSET2026'!$F:$AE,26,0)</f>
        <v>Sim</v>
      </c>
      <c r="H249" t="s">
        <v>3</v>
      </c>
      <c r="I249" s="3">
        <v>46276</v>
      </c>
      <c r="J249" t="s">
        <v>4</v>
      </c>
      <c r="K249" t="s">
        <v>331</v>
      </c>
      <c r="L249" t="s">
        <v>332</v>
      </c>
      <c r="M249" s="8">
        <v>-1183.05</v>
      </c>
      <c r="N249" t="s">
        <v>0</v>
      </c>
      <c r="O249" t="s">
        <v>7</v>
      </c>
      <c r="P249" t="s">
        <v>8</v>
      </c>
    </row>
    <row r="250" spans="1:16" ht="13.95" customHeight="1" x14ac:dyDescent="0.25">
      <c r="A250" s="2" t="s">
        <v>0</v>
      </c>
      <c r="B250" t="s">
        <v>1</v>
      </c>
      <c r="C250" s="3">
        <v>46276</v>
      </c>
      <c r="D250" t="s">
        <v>2</v>
      </c>
      <c r="E250" t="s">
        <v>0</v>
      </c>
      <c r="F250" s="5">
        <v>122658</v>
      </c>
      <c r="G250" s="5" t="str">
        <f>VLOOKUP(F250,'[1]46974159BCSET2026'!$F:$AE,26,0)</f>
        <v>Sim</v>
      </c>
      <c r="H250" t="s">
        <v>3</v>
      </c>
      <c r="I250" s="3">
        <v>46276</v>
      </c>
      <c r="J250" t="s">
        <v>4</v>
      </c>
      <c r="K250" t="s">
        <v>121</v>
      </c>
      <c r="L250" t="s">
        <v>122</v>
      </c>
      <c r="M250" s="8">
        <v>-1178.6500000000001</v>
      </c>
      <c r="N250" t="s">
        <v>0</v>
      </c>
      <c r="O250" t="s">
        <v>7</v>
      </c>
      <c r="P250" t="s">
        <v>8</v>
      </c>
    </row>
    <row r="251" spans="1:16" ht="13.95" customHeight="1" x14ac:dyDescent="0.25">
      <c r="A251" s="2" t="s">
        <v>0</v>
      </c>
      <c r="B251" t="s">
        <v>1</v>
      </c>
      <c r="C251" s="3">
        <v>46276</v>
      </c>
      <c r="D251" t="s">
        <v>2</v>
      </c>
      <c r="E251" t="s">
        <v>0</v>
      </c>
      <c r="F251" s="5">
        <v>122257</v>
      </c>
      <c r="G251" s="5" t="str">
        <f>VLOOKUP(F251,'[1]46974159BCSET2026'!$F:$AE,26,0)</f>
        <v>Sim</v>
      </c>
      <c r="H251" t="s">
        <v>3</v>
      </c>
      <c r="I251" s="3">
        <v>46276</v>
      </c>
      <c r="J251" t="s">
        <v>4</v>
      </c>
      <c r="K251" t="s">
        <v>191</v>
      </c>
      <c r="L251" t="s">
        <v>192</v>
      </c>
      <c r="M251" s="8">
        <v>-1039.02</v>
      </c>
      <c r="N251" t="s">
        <v>0</v>
      </c>
      <c r="O251" t="s">
        <v>7</v>
      </c>
      <c r="P251" t="s">
        <v>8</v>
      </c>
    </row>
    <row r="252" spans="1:16" ht="13.95" customHeight="1" x14ac:dyDescent="0.25">
      <c r="A252" s="2" t="s">
        <v>0</v>
      </c>
      <c r="B252" t="s">
        <v>1</v>
      </c>
      <c r="C252" s="3">
        <v>46276</v>
      </c>
      <c r="D252" t="s">
        <v>2</v>
      </c>
      <c r="E252" t="s">
        <v>0</v>
      </c>
      <c r="F252" s="5">
        <v>122288</v>
      </c>
      <c r="G252" s="5" t="str">
        <f>VLOOKUP(F252,'[1]46974159BCSET2026'!$F:$AE,26,0)</f>
        <v>Sim</v>
      </c>
      <c r="H252" t="s">
        <v>3</v>
      </c>
      <c r="I252" s="3">
        <v>46276</v>
      </c>
      <c r="J252" t="s">
        <v>4</v>
      </c>
      <c r="K252" t="s">
        <v>333</v>
      </c>
      <c r="L252" t="s">
        <v>334</v>
      </c>
      <c r="M252" s="8">
        <v>-1020.41</v>
      </c>
      <c r="N252" t="s">
        <v>0</v>
      </c>
      <c r="O252" t="s">
        <v>7</v>
      </c>
      <c r="P252" t="s">
        <v>8</v>
      </c>
    </row>
    <row r="253" spans="1:16" ht="13.95" customHeight="1" x14ac:dyDescent="0.25">
      <c r="A253" s="2" t="s">
        <v>0</v>
      </c>
      <c r="B253" t="s">
        <v>1</v>
      </c>
      <c r="C253" s="3">
        <v>46276</v>
      </c>
      <c r="D253" t="s">
        <v>2</v>
      </c>
      <c r="E253" t="s">
        <v>0</v>
      </c>
      <c r="F253" s="5">
        <v>122447</v>
      </c>
      <c r="G253" s="5" t="str">
        <f>VLOOKUP(F253,'[1]46974159BCSET2026'!$F:$AE,26,0)</f>
        <v>Sim</v>
      </c>
      <c r="H253" t="s">
        <v>3</v>
      </c>
      <c r="I253" s="3">
        <v>46276</v>
      </c>
      <c r="J253" t="s">
        <v>4</v>
      </c>
      <c r="K253" t="s">
        <v>335</v>
      </c>
      <c r="L253" t="s">
        <v>336</v>
      </c>
      <c r="M253" s="8">
        <v>-1020.41</v>
      </c>
      <c r="N253" t="s">
        <v>0</v>
      </c>
      <c r="O253" t="s">
        <v>7</v>
      </c>
      <c r="P253" t="s">
        <v>8</v>
      </c>
    </row>
    <row r="254" spans="1:16" ht="13.95" customHeight="1" x14ac:dyDescent="0.25">
      <c r="A254" s="2" t="s">
        <v>0</v>
      </c>
      <c r="B254" t="s">
        <v>1</v>
      </c>
      <c r="C254" s="3">
        <v>46276</v>
      </c>
      <c r="D254" t="s">
        <v>2</v>
      </c>
      <c r="E254" t="s">
        <v>0</v>
      </c>
      <c r="F254" s="5">
        <v>122699</v>
      </c>
      <c r="G254" s="5" t="str">
        <f>VLOOKUP(F254,'[1]46974159BCSET2026'!$F:$AE,26,0)</f>
        <v>Sim</v>
      </c>
      <c r="H254" t="s">
        <v>3</v>
      </c>
      <c r="I254" s="3">
        <v>46276</v>
      </c>
      <c r="J254" t="s">
        <v>4</v>
      </c>
      <c r="K254" t="s">
        <v>337</v>
      </c>
      <c r="L254" t="s">
        <v>338</v>
      </c>
      <c r="M254" s="8">
        <v>-1015.48</v>
      </c>
      <c r="N254" t="s">
        <v>0</v>
      </c>
      <c r="O254" t="s">
        <v>7</v>
      </c>
      <c r="P254" t="s">
        <v>8</v>
      </c>
    </row>
    <row r="255" spans="1:16" ht="13.95" customHeight="1" x14ac:dyDescent="0.25">
      <c r="A255" s="2" t="s">
        <v>0</v>
      </c>
      <c r="B255" t="s">
        <v>1</v>
      </c>
      <c r="C255" s="3">
        <v>46276</v>
      </c>
      <c r="D255" t="s">
        <v>2</v>
      </c>
      <c r="E255" t="s">
        <v>0</v>
      </c>
      <c r="F255" s="5">
        <v>122362</v>
      </c>
      <c r="G255" s="5" t="str">
        <f>VLOOKUP(F255,'[1]46974159BCSET2026'!$F:$AE,26,0)</f>
        <v>Sim</v>
      </c>
      <c r="H255" t="s">
        <v>3</v>
      </c>
      <c r="I255" s="3">
        <v>46276</v>
      </c>
      <c r="J255" t="s">
        <v>4</v>
      </c>
      <c r="K255" t="s">
        <v>339</v>
      </c>
      <c r="L255" t="s">
        <v>340</v>
      </c>
      <c r="M255" s="8">
        <v>-1009.7</v>
      </c>
      <c r="N255" t="s">
        <v>0</v>
      </c>
      <c r="O255" t="s">
        <v>7</v>
      </c>
      <c r="P255" t="s">
        <v>8</v>
      </c>
    </row>
    <row r="256" spans="1:16" ht="13.95" customHeight="1" x14ac:dyDescent="0.25">
      <c r="A256" s="2" t="s">
        <v>0</v>
      </c>
      <c r="B256" t="s">
        <v>1</v>
      </c>
      <c r="C256" s="3">
        <v>46276</v>
      </c>
      <c r="D256" t="s">
        <v>2</v>
      </c>
      <c r="E256" t="s">
        <v>0</v>
      </c>
      <c r="F256" s="5">
        <v>122596</v>
      </c>
      <c r="G256" s="5" t="str">
        <f>VLOOKUP(F256,'[1]46974159BCSET2026'!$F:$AE,26,0)</f>
        <v>Sim</v>
      </c>
      <c r="H256" t="s">
        <v>3</v>
      </c>
      <c r="I256" s="3">
        <v>46276</v>
      </c>
      <c r="J256" t="s">
        <v>4</v>
      </c>
      <c r="K256" t="s">
        <v>341</v>
      </c>
      <c r="L256" t="s">
        <v>342</v>
      </c>
      <c r="M256" s="8">
        <v>-1004.08</v>
      </c>
      <c r="N256" t="s">
        <v>0</v>
      </c>
      <c r="O256" t="s">
        <v>7</v>
      </c>
      <c r="P256" t="s">
        <v>8</v>
      </c>
    </row>
    <row r="257" spans="1:16" ht="13.95" customHeight="1" x14ac:dyDescent="0.25">
      <c r="A257" s="2" t="s">
        <v>0</v>
      </c>
      <c r="B257" t="s">
        <v>1</v>
      </c>
      <c r="C257" s="3">
        <v>46276</v>
      </c>
      <c r="D257" t="s">
        <v>2</v>
      </c>
      <c r="E257" t="s">
        <v>0</v>
      </c>
      <c r="F257" s="5">
        <v>122312</v>
      </c>
      <c r="G257" s="5" t="str">
        <f>VLOOKUP(F257,'[1]46974159BCSET2026'!$F:$AE,26,0)</f>
        <v>Sim</v>
      </c>
      <c r="H257" t="s">
        <v>3</v>
      </c>
      <c r="I257" s="3">
        <v>46276</v>
      </c>
      <c r="J257" t="s">
        <v>4</v>
      </c>
      <c r="K257" t="s">
        <v>343</v>
      </c>
      <c r="L257" t="s">
        <v>344</v>
      </c>
      <c r="M257" s="8">
        <v>-1000.19</v>
      </c>
      <c r="N257" t="s">
        <v>0</v>
      </c>
      <c r="O257" t="s">
        <v>7</v>
      </c>
      <c r="P257" t="s">
        <v>8</v>
      </c>
    </row>
    <row r="258" spans="1:16" ht="13.95" customHeight="1" x14ac:dyDescent="0.25">
      <c r="A258" s="2" t="s">
        <v>0</v>
      </c>
      <c r="B258" t="s">
        <v>1</v>
      </c>
      <c r="C258" s="3">
        <v>46276</v>
      </c>
      <c r="D258" t="s">
        <v>2</v>
      </c>
      <c r="E258" t="s">
        <v>0</v>
      </c>
      <c r="F258" s="5">
        <v>122218</v>
      </c>
      <c r="G258" s="5" t="str">
        <f>VLOOKUP(F258,'[1]46974159BCSET2026'!$F:$AE,26,0)</f>
        <v>Sim</v>
      </c>
      <c r="H258" t="s">
        <v>3</v>
      </c>
      <c r="I258" s="3">
        <v>46276</v>
      </c>
      <c r="J258" t="s">
        <v>4</v>
      </c>
      <c r="K258" t="s">
        <v>32</v>
      </c>
      <c r="L258" t="s">
        <v>33</v>
      </c>
      <c r="M258" s="8">
        <v>-977.96</v>
      </c>
      <c r="N258" t="s">
        <v>0</v>
      </c>
      <c r="O258" t="s">
        <v>7</v>
      </c>
      <c r="P258" t="s">
        <v>8</v>
      </c>
    </row>
    <row r="259" spans="1:16" ht="13.95" customHeight="1" x14ac:dyDescent="0.25">
      <c r="A259" s="2" t="s">
        <v>0</v>
      </c>
      <c r="B259" t="s">
        <v>1</v>
      </c>
      <c r="C259" s="3">
        <v>46276</v>
      </c>
      <c r="D259" t="s">
        <v>2</v>
      </c>
      <c r="E259" t="s">
        <v>0</v>
      </c>
      <c r="F259" s="5">
        <v>122502</v>
      </c>
      <c r="G259" s="5" t="str">
        <f>VLOOKUP(F259,'[1]46974159BCSET2026'!$F:$AE,26,0)</f>
        <v>Sim</v>
      </c>
      <c r="H259" t="s">
        <v>3</v>
      </c>
      <c r="I259" s="3">
        <v>46276</v>
      </c>
      <c r="J259" t="s">
        <v>4</v>
      </c>
      <c r="K259" t="s">
        <v>345</v>
      </c>
      <c r="L259" t="s">
        <v>346</v>
      </c>
      <c r="M259" s="8">
        <v>-947.14</v>
      </c>
      <c r="N259" t="s">
        <v>0</v>
      </c>
      <c r="O259" t="s">
        <v>7</v>
      </c>
      <c r="P259" t="s">
        <v>8</v>
      </c>
    </row>
    <row r="260" spans="1:16" ht="13.95" customHeight="1" x14ac:dyDescent="0.25">
      <c r="A260" s="2" t="s">
        <v>0</v>
      </c>
      <c r="B260" t="s">
        <v>1</v>
      </c>
      <c r="C260" s="3">
        <v>46276</v>
      </c>
      <c r="D260" t="s">
        <v>2</v>
      </c>
      <c r="E260" t="s">
        <v>0</v>
      </c>
      <c r="F260" s="5">
        <v>122640</v>
      </c>
      <c r="G260" s="5" t="str">
        <f>VLOOKUP(F260,'[1]46974159BCSET2026'!$F:$AE,26,0)</f>
        <v>Sim</v>
      </c>
      <c r="H260" t="s">
        <v>3</v>
      </c>
      <c r="I260" s="3">
        <v>46276</v>
      </c>
      <c r="J260" t="s">
        <v>4</v>
      </c>
      <c r="K260" t="s">
        <v>265</v>
      </c>
      <c r="L260" t="s">
        <v>266</v>
      </c>
      <c r="M260" s="8">
        <v>-943.58</v>
      </c>
      <c r="N260" t="s">
        <v>0</v>
      </c>
      <c r="O260" t="s">
        <v>7</v>
      </c>
      <c r="P260" t="s">
        <v>8</v>
      </c>
    </row>
    <row r="261" spans="1:16" ht="13.95" customHeight="1" x14ac:dyDescent="0.25">
      <c r="A261" s="2" t="s">
        <v>0</v>
      </c>
      <c r="B261" t="s">
        <v>1</v>
      </c>
      <c r="C261" s="3">
        <v>46276</v>
      </c>
      <c r="D261" t="s">
        <v>2</v>
      </c>
      <c r="E261" t="s">
        <v>0</v>
      </c>
      <c r="F261" s="5">
        <v>122275</v>
      </c>
      <c r="G261" s="5" t="str">
        <f>VLOOKUP(F261,'[1]46974159BCSET2026'!$F:$AE,26,0)</f>
        <v>Sim</v>
      </c>
      <c r="H261" t="s">
        <v>3</v>
      </c>
      <c r="I261" s="3">
        <v>46276</v>
      </c>
      <c r="J261" t="s">
        <v>4</v>
      </c>
      <c r="K261" t="s">
        <v>5</v>
      </c>
      <c r="L261" t="s">
        <v>6</v>
      </c>
      <c r="M261" s="8">
        <v>-940.36</v>
      </c>
      <c r="N261" t="s">
        <v>0</v>
      </c>
      <c r="O261" t="s">
        <v>7</v>
      </c>
      <c r="P261" t="s">
        <v>8</v>
      </c>
    </row>
    <row r="262" spans="1:16" ht="13.95" customHeight="1" x14ac:dyDescent="0.25">
      <c r="A262" s="2" t="s">
        <v>0</v>
      </c>
      <c r="B262" t="s">
        <v>1</v>
      </c>
      <c r="C262" s="3">
        <v>46276</v>
      </c>
      <c r="D262" t="s">
        <v>2</v>
      </c>
      <c r="E262" t="s">
        <v>0</v>
      </c>
      <c r="F262" s="5">
        <v>122221</v>
      </c>
      <c r="G262" s="5" t="str">
        <f>VLOOKUP(F262,'[1]46974159BCSET2026'!$F:$AE,26,0)</f>
        <v>Sim</v>
      </c>
      <c r="H262" t="s">
        <v>3</v>
      </c>
      <c r="I262" s="3">
        <v>46276</v>
      </c>
      <c r="J262" t="s">
        <v>4</v>
      </c>
      <c r="K262" t="s">
        <v>62</v>
      </c>
      <c r="L262" t="s">
        <v>63</v>
      </c>
      <c r="M262" s="8">
        <v>-936.4</v>
      </c>
      <c r="N262" t="s">
        <v>0</v>
      </c>
      <c r="O262" t="s">
        <v>7</v>
      </c>
      <c r="P262" t="s">
        <v>8</v>
      </c>
    </row>
    <row r="263" spans="1:16" ht="13.95" customHeight="1" x14ac:dyDescent="0.25">
      <c r="A263" s="2" t="s">
        <v>0</v>
      </c>
      <c r="B263" t="s">
        <v>1</v>
      </c>
      <c r="C263" s="3">
        <v>46276</v>
      </c>
      <c r="D263" t="s">
        <v>2</v>
      </c>
      <c r="E263" t="s">
        <v>0</v>
      </c>
      <c r="F263" s="5">
        <v>122685</v>
      </c>
      <c r="G263" s="5" t="str">
        <f>VLOOKUP(F263,'[1]46974159BCSET2026'!$F:$AE,26,0)</f>
        <v>Sim</v>
      </c>
      <c r="H263" t="s">
        <v>3</v>
      </c>
      <c r="I263" s="3">
        <v>46276</v>
      </c>
      <c r="J263" t="s">
        <v>4</v>
      </c>
      <c r="K263" t="s">
        <v>347</v>
      </c>
      <c r="L263" t="s">
        <v>348</v>
      </c>
      <c r="M263" s="8">
        <v>-933.78</v>
      </c>
      <c r="N263" t="s">
        <v>0</v>
      </c>
      <c r="O263" t="s">
        <v>7</v>
      </c>
      <c r="P263" t="s">
        <v>8</v>
      </c>
    </row>
    <row r="264" spans="1:16" ht="13.95" customHeight="1" x14ac:dyDescent="0.25">
      <c r="A264" s="2" t="s">
        <v>0</v>
      </c>
      <c r="B264" t="s">
        <v>1</v>
      </c>
      <c r="C264" s="3">
        <v>46276</v>
      </c>
      <c r="D264" t="s">
        <v>2</v>
      </c>
      <c r="E264" t="s">
        <v>0</v>
      </c>
      <c r="F264" s="5">
        <v>122210</v>
      </c>
      <c r="G264" s="5" t="str">
        <f>VLOOKUP(F264,'[1]46974159BCSET2026'!$F:$AE,26,0)</f>
        <v>Sim</v>
      </c>
      <c r="H264" t="s">
        <v>3</v>
      </c>
      <c r="I264" s="3">
        <v>46276</v>
      </c>
      <c r="J264" t="s">
        <v>4</v>
      </c>
      <c r="K264" t="s">
        <v>221</v>
      </c>
      <c r="L264" t="s">
        <v>222</v>
      </c>
      <c r="M264" s="8">
        <v>-925.98</v>
      </c>
      <c r="N264" t="s">
        <v>0</v>
      </c>
      <c r="O264" t="s">
        <v>7</v>
      </c>
      <c r="P264" t="s">
        <v>8</v>
      </c>
    </row>
    <row r="265" spans="1:16" ht="13.95" customHeight="1" x14ac:dyDescent="0.25">
      <c r="A265" s="2" t="s">
        <v>0</v>
      </c>
      <c r="B265" t="s">
        <v>1</v>
      </c>
      <c r="C265" s="3">
        <v>46276</v>
      </c>
      <c r="D265" t="s">
        <v>2</v>
      </c>
      <c r="E265" t="s">
        <v>0</v>
      </c>
      <c r="F265" s="5">
        <v>122221</v>
      </c>
      <c r="G265" s="5" t="str">
        <f>VLOOKUP(F265,'[1]46974159BCSET2026'!$F:$AE,26,0)</f>
        <v>Sim</v>
      </c>
      <c r="H265" t="s">
        <v>3</v>
      </c>
      <c r="I265" s="3">
        <v>46276</v>
      </c>
      <c r="J265" t="s">
        <v>4</v>
      </c>
      <c r="K265" t="s">
        <v>62</v>
      </c>
      <c r="L265" t="s">
        <v>63</v>
      </c>
      <c r="M265" s="8">
        <v>-922.36</v>
      </c>
      <c r="N265" t="s">
        <v>0</v>
      </c>
      <c r="O265" t="s">
        <v>7</v>
      </c>
      <c r="P265" t="s">
        <v>8</v>
      </c>
    </row>
    <row r="266" spans="1:16" ht="13.95" customHeight="1" x14ac:dyDescent="0.25">
      <c r="A266" s="2" t="s">
        <v>0</v>
      </c>
      <c r="B266" t="s">
        <v>1</v>
      </c>
      <c r="C266" s="3">
        <v>46276</v>
      </c>
      <c r="D266" t="s">
        <v>2</v>
      </c>
      <c r="E266" t="s">
        <v>0</v>
      </c>
      <c r="F266" s="5">
        <v>122275</v>
      </c>
      <c r="G266" s="5" t="str">
        <f>VLOOKUP(F266,'[1]46974159BCSET2026'!$F:$AE,26,0)</f>
        <v>Sim</v>
      </c>
      <c r="H266" t="s">
        <v>3</v>
      </c>
      <c r="I266" s="3">
        <v>46276</v>
      </c>
      <c r="J266" t="s">
        <v>4</v>
      </c>
      <c r="K266" t="s">
        <v>5</v>
      </c>
      <c r="L266" t="s">
        <v>6</v>
      </c>
      <c r="M266" s="8">
        <v>-921.8</v>
      </c>
      <c r="N266" t="s">
        <v>0</v>
      </c>
      <c r="O266" t="s">
        <v>7</v>
      </c>
      <c r="P266" t="s">
        <v>8</v>
      </c>
    </row>
    <row r="267" spans="1:16" ht="13.95" customHeight="1" x14ac:dyDescent="0.25">
      <c r="A267" s="2" t="s">
        <v>0</v>
      </c>
      <c r="B267" t="s">
        <v>1</v>
      </c>
      <c r="C267" s="3">
        <v>46276</v>
      </c>
      <c r="D267" t="s">
        <v>2</v>
      </c>
      <c r="E267" t="s">
        <v>0</v>
      </c>
      <c r="F267" s="5">
        <v>122537</v>
      </c>
      <c r="G267" s="5" t="str">
        <f>VLOOKUP(F267,'[1]46974159BCSET2026'!$F:$AE,26,0)</f>
        <v>Sim</v>
      </c>
      <c r="H267" t="s">
        <v>3</v>
      </c>
      <c r="I267" s="3">
        <v>46276</v>
      </c>
      <c r="J267" t="s">
        <v>4</v>
      </c>
      <c r="K267" t="s">
        <v>207</v>
      </c>
      <c r="L267" t="s">
        <v>208</v>
      </c>
      <c r="M267" s="8">
        <v>-908.16</v>
      </c>
      <c r="N267" t="s">
        <v>0</v>
      </c>
      <c r="O267" t="s">
        <v>7</v>
      </c>
      <c r="P267" t="s">
        <v>8</v>
      </c>
    </row>
    <row r="268" spans="1:16" ht="13.95" customHeight="1" x14ac:dyDescent="0.25">
      <c r="A268" s="2" t="s">
        <v>0</v>
      </c>
      <c r="B268" t="s">
        <v>1</v>
      </c>
      <c r="C268" s="3">
        <v>46276</v>
      </c>
      <c r="D268" t="s">
        <v>2</v>
      </c>
      <c r="E268" t="s">
        <v>0</v>
      </c>
      <c r="F268" s="5">
        <v>122449</v>
      </c>
      <c r="G268" s="5" t="str">
        <f>VLOOKUP(F268,'[1]46974159BCSET2026'!$F:$AE,26,0)</f>
        <v>Sim</v>
      </c>
      <c r="H268" t="s">
        <v>3</v>
      </c>
      <c r="I268" s="3">
        <v>46276</v>
      </c>
      <c r="J268" t="s">
        <v>4</v>
      </c>
      <c r="K268" t="s">
        <v>349</v>
      </c>
      <c r="L268" t="s">
        <v>350</v>
      </c>
      <c r="M268" s="8">
        <v>-908.16</v>
      </c>
      <c r="N268" t="s">
        <v>0</v>
      </c>
      <c r="O268" t="s">
        <v>7</v>
      </c>
      <c r="P268" t="s">
        <v>8</v>
      </c>
    </row>
    <row r="269" spans="1:16" ht="13.95" customHeight="1" x14ac:dyDescent="0.25">
      <c r="A269" s="2" t="s">
        <v>0</v>
      </c>
      <c r="B269" t="s">
        <v>1</v>
      </c>
      <c r="C269" s="3">
        <v>46276</v>
      </c>
      <c r="D269" t="s">
        <v>2</v>
      </c>
      <c r="E269" t="s">
        <v>0</v>
      </c>
      <c r="F269" s="5">
        <v>122194</v>
      </c>
      <c r="G269" s="5" t="str">
        <f>VLOOKUP(F269,'[1]46974159BCSET2026'!$F:$AE,26,0)</f>
        <v>Sim</v>
      </c>
      <c r="H269" t="s">
        <v>3</v>
      </c>
      <c r="I269" s="3">
        <v>46276</v>
      </c>
      <c r="J269" t="s">
        <v>4</v>
      </c>
      <c r="K269" t="s">
        <v>223</v>
      </c>
      <c r="L269" t="s">
        <v>224</v>
      </c>
      <c r="M269" s="8">
        <v>-906.38</v>
      </c>
      <c r="N269" t="s">
        <v>0</v>
      </c>
      <c r="O269" t="s">
        <v>7</v>
      </c>
      <c r="P269" t="s">
        <v>8</v>
      </c>
    </row>
    <row r="270" spans="1:16" ht="13.95" customHeight="1" x14ac:dyDescent="0.25">
      <c r="A270" s="2" t="s">
        <v>0</v>
      </c>
      <c r="B270" t="s">
        <v>1</v>
      </c>
      <c r="C270" s="3">
        <v>46276</v>
      </c>
      <c r="D270" t="s">
        <v>2</v>
      </c>
      <c r="E270" t="s">
        <v>0</v>
      </c>
      <c r="F270" s="5">
        <v>122631</v>
      </c>
      <c r="G270" s="5" t="str">
        <f>VLOOKUP(F270,'[1]46974159BCSET2026'!$F:$AE,26,0)</f>
        <v>Sim</v>
      </c>
      <c r="H270" t="s">
        <v>3</v>
      </c>
      <c r="I270" s="3">
        <v>46276</v>
      </c>
      <c r="J270" t="s">
        <v>4</v>
      </c>
      <c r="K270" t="s">
        <v>323</v>
      </c>
      <c r="L270" t="s">
        <v>324</v>
      </c>
      <c r="M270" s="8">
        <v>-892.6</v>
      </c>
      <c r="N270" t="s">
        <v>0</v>
      </c>
      <c r="O270" t="s">
        <v>7</v>
      </c>
      <c r="P270" t="s">
        <v>8</v>
      </c>
    </row>
    <row r="271" spans="1:16" ht="13.95" customHeight="1" x14ac:dyDescent="0.25">
      <c r="A271" s="2" t="s">
        <v>0</v>
      </c>
      <c r="B271" t="s">
        <v>1</v>
      </c>
      <c r="C271" s="3">
        <v>46276</v>
      </c>
      <c r="D271" t="s">
        <v>2</v>
      </c>
      <c r="E271" t="s">
        <v>0</v>
      </c>
      <c r="F271" s="5">
        <v>122699</v>
      </c>
      <c r="G271" s="5" t="str">
        <f>VLOOKUP(F271,'[1]46974159BCSET2026'!$F:$AE,26,0)</f>
        <v>Sim</v>
      </c>
      <c r="H271" t="s">
        <v>3</v>
      </c>
      <c r="I271" s="3">
        <v>46276</v>
      </c>
      <c r="J271" t="s">
        <v>4</v>
      </c>
      <c r="K271" t="s">
        <v>337</v>
      </c>
      <c r="L271" t="s">
        <v>338</v>
      </c>
      <c r="M271" s="8">
        <v>-890.59</v>
      </c>
      <c r="N271" t="s">
        <v>0</v>
      </c>
      <c r="O271" t="s">
        <v>7</v>
      </c>
      <c r="P271" t="s">
        <v>8</v>
      </c>
    </row>
    <row r="272" spans="1:16" ht="13.95" customHeight="1" x14ac:dyDescent="0.25">
      <c r="A272" s="2" t="s">
        <v>0</v>
      </c>
      <c r="B272" t="s">
        <v>1</v>
      </c>
      <c r="C272" s="3">
        <v>46276</v>
      </c>
      <c r="D272" t="s">
        <v>2</v>
      </c>
      <c r="E272" t="s">
        <v>0</v>
      </c>
      <c r="F272" s="5">
        <v>122192</v>
      </c>
      <c r="G272" s="5" t="str">
        <f>VLOOKUP(F272,'[1]46974159BCSET2026'!$F:$AE,26,0)</f>
        <v>Sim</v>
      </c>
      <c r="H272" t="s">
        <v>3</v>
      </c>
      <c r="I272" s="3">
        <v>46276</v>
      </c>
      <c r="J272" t="s">
        <v>4</v>
      </c>
      <c r="K272" t="s">
        <v>125</v>
      </c>
      <c r="L272" t="s">
        <v>126</v>
      </c>
      <c r="M272" s="8">
        <v>-886.47</v>
      </c>
      <c r="N272" t="s">
        <v>0</v>
      </c>
      <c r="O272" t="s">
        <v>7</v>
      </c>
      <c r="P272" t="s">
        <v>8</v>
      </c>
    </row>
    <row r="273" spans="1:16" ht="13.95" customHeight="1" x14ac:dyDescent="0.25">
      <c r="A273" s="2" t="s">
        <v>0</v>
      </c>
      <c r="B273" t="s">
        <v>1</v>
      </c>
      <c r="C273" s="3">
        <v>46276</v>
      </c>
      <c r="D273" t="s">
        <v>2</v>
      </c>
      <c r="E273" t="s">
        <v>0</v>
      </c>
      <c r="F273" s="5">
        <v>122595</v>
      </c>
      <c r="G273" s="5" t="str">
        <f>VLOOKUP(F273,'[1]46974159BCSET2026'!$F:$AE,26,0)</f>
        <v>Sim</v>
      </c>
      <c r="H273" t="s">
        <v>3</v>
      </c>
      <c r="I273" s="3">
        <v>46276</v>
      </c>
      <c r="J273" t="s">
        <v>4</v>
      </c>
      <c r="K273" t="s">
        <v>351</v>
      </c>
      <c r="L273" t="s">
        <v>352</v>
      </c>
      <c r="M273" s="8">
        <v>-853.47</v>
      </c>
      <c r="N273" t="s">
        <v>0</v>
      </c>
      <c r="O273" t="s">
        <v>7</v>
      </c>
      <c r="P273" t="s">
        <v>8</v>
      </c>
    </row>
    <row r="274" spans="1:16" ht="13.95" customHeight="1" x14ac:dyDescent="0.25">
      <c r="A274" s="2" t="s">
        <v>0</v>
      </c>
      <c r="B274" t="s">
        <v>1</v>
      </c>
      <c r="C274" s="3">
        <v>46276</v>
      </c>
      <c r="D274" t="s">
        <v>2</v>
      </c>
      <c r="E274" t="s">
        <v>0</v>
      </c>
      <c r="F274" s="5">
        <v>122700</v>
      </c>
      <c r="G274" s="5" t="str">
        <f>VLOOKUP(F274,'[1]46974159BCSET2026'!$F:$AE,26,0)</f>
        <v>Sim</v>
      </c>
      <c r="H274" t="s">
        <v>3</v>
      </c>
      <c r="I274" s="3">
        <v>46276</v>
      </c>
      <c r="J274" t="s">
        <v>4</v>
      </c>
      <c r="K274" t="s">
        <v>353</v>
      </c>
      <c r="L274" t="s">
        <v>354</v>
      </c>
      <c r="M274" s="8">
        <v>-845.85</v>
      </c>
      <c r="N274" t="s">
        <v>0</v>
      </c>
      <c r="O274" t="s">
        <v>7</v>
      </c>
      <c r="P274" t="s">
        <v>8</v>
      </c>
    </row>
    <row r="275" spans="1:16" ht="13.95" customHeight="1" x14ac:dyDescent="0.25">
      <c r="A275" s="2" t="s">
        <v>0</v>
      </c>
      <c r="B275" t="s">
        <v>1</v>
      </c>
      <c r="C275" s="3">
        <v>46276</v>
      </c>
      <c r="D275" t="s">
        <v>2</v>
      </c>
      <c r="E275" t="s">
        <v>0</v>
      </c>
      <c r="F275" s="5">
        <v>122459</v>
      </c>
      <c r="G275" s="5" t="str">
        <f>VLOOKUP(F275,'[1]46974159BCSET2026'!$F:$AE,26,0)</f>
        <v>Sim</v>
      </c>
      <c r="H275" t="s">
        <v>3</v>
      </c>
      <c r="I275" s="3">
        <v>46276</v>
      </c>
      <c r="J275" t="s">
        <v>4</v>
      </c>
      <c r="K275" t="s">
        <v>355</v>
      </c>
      <c r="L275" t="s">
        <v>356</v>
      </c>
      <c r="M275" s="8">
        <v>-836.73</v>
      </c>
      <c r="N275" t="s">
        <v>0</v>
      </c>
      <c r="O275" t="s">
        <v>7</v>
      </c>
      <c r="P275" t="s">
        <v>8</v>
      </c>
    </row>
    <row r="276" spans="1:16" ht="13.95" customHeight="1" x14ac:dyDescent="0.25">
      <c r="A276" s="2" t="s">
        <v>0</v>
      </c>
      <c r="B276" t="s">
        <v>1</v>
      </c>
      <c r="C276" s="3">
        <v>46276</v>
      </c>
      <c r="D276" t="s">
        <v>2</v>
      </c>
      <c r="E276" t="s">
        <v>0</v>
      </c>
      <c r="F276" s="5">
        <v>122642</v>
      </c>
      <c r="G276" s="5" t="str">
        <f>VLOOKUP(F276,'[1]46974159BCSET2026'!$F:$AE,26,0)</f>
        <v>Sim</v>
      </c>
      <c r="H276" t="s">
        <v>3</v>
      </c>
      <c r="I276" s="3">
        <v>46276</v>
      </c>
      <c r="J276" t="s">
        <v>4</v>
      </c>
      <c r="K276" t="s">
        <v>141</v>
      </c>
      <c r="L276" t="s">
        <v>142</v>
      </c>
      <c r="M276" s="8">
        <v>-826.9</v>
      </c>
      <c r="N276" t="s">
        <v>0</v>
      </c>
      <c r="O276" t="s">
        <v>7</v>
      </c>
      <c r="P276" t="s">
        <v>8</v>
      </c>
    </row>
    <row r="277" spans="1:16" ht="13.95" customHeight="1" x14ac:dyDescent="0.25">
      <c r="A277" s="2" t="s">
        <v>0</v>
      </c>
      <c r="B277" t="s">
        <v>1</v>
      </c>
      <c r="C277" s="3">
        <v>46276</v>
      </c>
      <c r="D277" t="s">
        <v>2</v>
      </c>
      <c r="E277" t="s">
        <v>0</v>
      </c>
      <c r="F277" s="5">
        <v>122695</v>
      </c>
      <c r="G277" s="5" t="str">
        <f>VLOOKUP(F277,'[1]46974159BCSET2026'!$F:$AE,26,0)</f>
        <v>Sim</v>
      </c>
      <c r="H277" t="s">
        <v>3</v>
      </c>
      <c r="I277" s="3">
        <v>46276</v>
      </c>
      <c r="J277" t="s">
        <v>4</v>
      </c>
      <c r="K277" t="s">
        <v>357</v>
      </c>
      <c r="L277" t="s">
        <v>358</v>
      </c>
      <c r="M277" s="8">
        <v>-816.33</v>
      </c>
      <c r="N277" t="s">
        <v>0</v>
      </c>
      <c r="O277" t="s">
        <v>7</v>
      </c>
      <c r="P277" t="s">
        <v>8</v>
      </c>
    </row>
    <row r="278" spans="1:16" ht="13.95" customHeight="1" x14ac:dyDescent="0.25">
      <c r="A278" s="2" t="s">
        <v>0</v>
      </c>
      <c r="B278" t="s">
        <v>1</v>
      </c>
      <c r="C278" s="3">
        <v>46276</v>
      </c>
      <c r="D278" t="s">
        <v>2</v>
      </c>
      <c r="E278" t="s">
        <v>0</v>
      </c>
      <c r="F278" s="5">
        <v>122601</v>
      </c>
      <c r="G278" s="5" t="str">
        <f>VLOOKUP(F278,'[1]46974159BCSET2026'!$F:$AE,26,0)</f>
        <v>Sim</v>
      </c>
      <c r="H278" t="s">
        <v>3</v>
      </c>
      <c r="I278" s="3">
        <v>46276</v>
      </c>
      <c r="J278" t="s">
        <v>4</v>
      </c>
      <c r="K278" t="s">
        <v>359</v>
      </c>
      <c r="L278" t="s">
        <v>360</v>
      </c>
      <c r="M278" s="8">
        <v>-816.33</v>
      </c>
      <c r="N278" t="s">
        <v>0</v>
      </c>
      <c r="O278" t="s">
        <v>7</v>
      </c>
      <c r="P278" t="s">
        <v>8</v>
      </c>
    </row>
    <row r="279" spans="1:16" ht="13.95" customHeight="1" x14ac:dyDescent="0.25">
      <c r="A279" s="2" t="s">
        <v>0</v>
      </c>
      <c r="B279" t="s">
        <v>1</v>
      </c>
      <c r="C279" s="3">
        <v>46276</v>
      </c>
      <c r="D279" t="s">
        <v>2</v>
      </c>
      <c r="E279" t="s">
        <v>0</v>
      </c>
      <c r="F279" s="5">
        <v>122614</v>
      </c>
      <c r="G279" s="5" t="str">
        <f>VLOOKUP(F279,'[1]46974159BCSET2026'!$F:$AE,26,0)</f>
        <v>Sim</v>
      </c>
      <c r="H279" t="s">
        <v>3</v>
      </c>
      <c r="I279" s="3">
        <v>46276</v>
      </c>
      <c r="J279" t="s">
        <v>4</v>
      </c>
      <c r="K279" t="s">
        <v>361</v>
      </c>
      <c r="L279" t="s">
        <v>362</v>
      </c>
      <c r="M279" s="8">
        <v>-816.33</v>
      </c>
      <c r="N279" t="s">
        <v>0</v>
      </c>
      <c r="O279" t="s">
        <v>7</v>
      </c>
      <c r="P279" t="s">
        <v>8</v>
      </c>
    </row>
    <row r="280" spans="1:16" ht="13.95" customHeight="1" x14ac:dyDescent="0.25">
      <c r="A280" s="2" t="s">
        <v>0</v>
      </c>
      <c r="B280" t="s">
        <v>1</v>
      </c>
      <c r="C280" s="3">
        <v>46276</v>
      </c>
      <c r="D280" t="s">
        <v>2</v>
      </c>
      <c r="E280" t="s">
        <v>0</v>
      </c>
      <c r="F280" s="5">
        <v>122473</v>
      </c>
      <c r="G280" s="5" t="str">
        <f>VLOOKUP(F280,'[1]46974159BCSET2026'!$F:$AE,26,0)</f>
        <v>Sim</v>
      </c>
      <c r="H280" t="s">
        <v>3</v>
      </c>
      <c r="I280" s="3">
        <v>46276</v>
      </c>
      <c r="J280" t="s">
        <v>4</v>
      </c>
      <c r="K280" t="s">
        <v>363</v>
      </c>
      <c r="L280" t="s">
        <v>364</v>
      </c>
      <c r="M280" s="8">
        <v>-816.33</v>
      </c>
      <c r="N280" t="s">
        <v>0</v>
      </c>
      <c r="O280" t="s">
        <v>7</v>
      </c>
      <c r="P280" t="s">
        <v>8</v>
      </c>
    </row>
    <row r="281" spans="1:16" ht="13.95" customHeight="1" x14ac:dyDescent="0.25">
      <c r="A281" s="2" t="s">
        <v>0</v>
      </c>
      <c r="B281" t="s">
        <v>1</v>
      </c>
      <c r="C281" s="3">
        <v>46276</v>
      </c>
      <c r="D281" t="s">
        <v>2</v>
      </c>
      <c r="E281" t="s">
        <v>0</v>
      </c>
      <c r="F281" s="5">
        <v>122346</v>
      </c>
      <c r="G281" s="5" t="str">
        <f>VLOOKUP(F281,'[1]46974159BCSET2026'!$F:$AE,26,0)</f>
        <v>Sim</v>
      </c>
      <c r="H281" t="s">
        <v>3</v>
      </c>
      <c r="I281" s="3">
        <v>46276</v>
      </c>
      <c r="J281" t="s">
        <v>4</v>
      </c>
      <c r="K281" t="s">
        <v>365</v>
      </c>
      <c r="L281" t="s">
        <v>366</v>
      </c>
      <c r="M281" s="8">
        <v>-795.92</v>
      </c>
      <c r="N281" t="s">
        <v>0</v>
      </c>
      <c r="O281" t="s">
        <v>7</v>
      </c>
      <c r="P281" t="s">
        <v>8</v>
      </c>
    </row>
    <row r="282" spans="1:16" ht="13.95" customHeight="1" x14ac:dyDescent="0.25">
      <c r="A282" s="2" t="s">
        <v>0</v>
      </c>
      <c r="B282" t="s">
        <v>1</v>
      </c>
      <c r="C282" s="3">
        <v>46276</v>
      </c>
      <c r="D282" t="s">
        <v>2</v>
      </c>
      <c r="E282" t="s">
        <v>0</v>
      </c>
      <c r="F282" s="5">
        <v>122668</v>
      </c>
      <c r="G282" s="5" t="str">
        <f>VLOOKUP(F282,'[1]46974159BCSET2026'!$F:$AE,26,0)</f>
        <v>Sim</v>
      </c>
      <c r="H282" t="s">
        <v>3</v>
      </c>
      <c r="I282" s="3">
        <v>46276</v>
      </c>
      <c r="J282" t="s">
        <v>4</v>
      </c>
      <c r="K282" t="s">
        <v>163</v>
      </c>
      <c r="L282" t="s">
        <v>164</v>
      </c>
      <c r="M282" s="8">
        <v>-787.84</v>
      </c>
      <c r="N282" t="s">
        <v>0</v>
      </c>
      <c r="O282" t="s">
        <v>7</v>
      </c>
      <c r="P282" t="s">
        <v>8</v>
      </c>
    </row>
    <row r="283" spans="1:16" ht="13.95" customHeight="1" x14ac:dyDescent="0.25">
      <c r="A283" s="2" t="s">
        <v>0</v>
      </c>
      <c r="B283" t="s">
        <v>1</v>
      </c>
      <c r="C283" s="3">
        <v>46276</v>
      </c>
      <c r="D283" t="s">
        <v>2</v>
      </c>
      <c r="E283" t="s">
        <v>0</v>
      </c>
      <c r="F283" s="5">
        <v>122642</v>
      </c>
      <c r="G283" s="5" t="str">
        <f>VLOOKUP(F283,'[1]46974159BCSET2026'!$F:$AE,26,0)</f>
        <v>Sim</v>
      </c>
      <c r="H283" t="s">
        <v>3</v>
      </c>
      <c r="I283" s="3">
        <v>46276</v>
      </c>
      <c r="J283" t="s">
        <v>4</v>
      </c>
      <c r="K283" t="s">
        <v>141</v>
      </c>
      <c r="L283" t="s">
        <v>142</v>
      </c>
      <c r="M283" s="8">
        <v>-787.49</v>
      </c>
      <c r="N283" t="s">
        <v>0</v>
      </c>
      <c r="O283" t="s">
        <v>7</v>
      </c>
      <c r="P283" t="s">
        <v>8</v>
      </c>
    </row>
    <row r="284" spans="1:16" ht="13.95" customHeight="1" x14ac:dyDescent="0.25">
      <c r="A284" s="2" t="s">
        <v>0</v>
      </c>
      <c r="B284" t="s">
        <v>1</v>
      </c>
      <c r="C284" s="3">
        <v>46276</v>
      </c>
      <c r="D284" t="s">
        <v>2</v>
      </c>
      <c r="E284" t="s">
        <v>0</v>
      </c>
      <c r="F284" s="5">
        <v>122193</v>
      </c>
      <c r="G284" s="5" t="str">
        <f>VLOOKUP(F284,'[1]46974159BCSET2026'!$F:$AE,26,0)</f>
        <v>Sim</v>
      </c>
      <c r="H284" t="s">
        <v>3</v>
      </c>
      <c r="I284" s="3">
        <v>46276</v>
      </c>
      <c r="J284" t="s">
        <v>4</v>
      </c>
      <c r="K284" t="s">
        <v>127</v>
      </c>
      <c r="L284" t="s">
        <v>128</v>
      </c>
      <c r="M284" s="8">
        <v>-784.5</v>
      </c>
      <c r="N284" t="s">
        <v>0</v>
      </c>
      <c r="O284" t="s">
        <v>7</v>
      </c>
      <c r="P284" t="s">
        <v>8</v>
      </c>
    </row>
    <row r="285" spans="1:16" ht="13.95" customHeight="1" x14ac:dyDescent="0.25">
      <c r="A285" s="2" t="s">
        <v>0</v>
      </c>
      <c r="B285" t="s">
        <v>1</v>
      </c>
      <c r="C285" s="3">
        <v>46276</v>
      </c>
      <c r="D285" t="s">
        <v>2</v>
      </c>
      <c r="E285" t="s">
        <v>0</v>
      </c>
      <c r="F285" s="5">
        <v>122433</v>
      </c>
      <c r="G285" s="5" t="str">
        <f>VLOOKUP(F285,'[1]46974159BCSET2026'!$F:$AE,26,0)</f>
        <v>Sim</v>
      </c>
      <c r="H285" t="s">
        <v>3</v>
      </c>
      <c r="I285" s="3">
        <v>46276</v>
      </c>
      <c r="J285" t="s">
        <v>4</v>
      </c>
      <c r="K285" t="s">
        <v>229</v>
      </c>
      <c r="L285" t="s">
        <v>230</v>
      </c>
      <c r="M285" s="8">
        <v>-775.51</v>
      </c>
      <c r="N285" t="s">
        <v>0</v>
      </c>
      <c r="O285" t="s">
        <v>7</v>
      </c>
      <c r="P285" t="s">
        <v>8</v>
      </c>
    </row>
    <row r="286" spans="1:16" ht="13.95" customHeight="1" x14ac:dyDescent="0.25">
      <c r="A286" s="2" t="s">
        <v>0</v>
      </c>
      <c r="B286" t="s">
        <v>1</v>
      </c>
      <c r="C286" s="3">
        <v>46276</v>
      </c>
      <c r="D286" t="s">
        <v>2</v>
      </c>
      <c r="E286" t="s">
        <v>0</v>
      </c>
      <c r="F286" s="5">
        <v>122349</v>
      </c>
      <c r="G286" s="5" t="str">
        <f>VLOOKUP(F286,'[1]46974159BCSET2026'!$F:$AE,26,0)</f>
        <v>Sim</v>
      </c>
      <c r="H286" t="s">
        <v>3</v>
      </c>
      <c r="I286" s="3">
        <v>46276</v>
      </c>
      <c r="J286" t="s">
        <v>4</v>
      </c>
      <c r="K286" t="s">
        <v>367</v>
      </c>
      <c r="L286" t="s">
        <v>368</v>
      </c>
      <c r="M286" s="8">
        <v>-765.31</v>
      </c>
      <c r="N286" t="s">
        <v>0</v>
      </c>
      <c r="O286" t="s">
        <v>7</v>
      </c>
      <c r="P286" t="s">
        <v>8</v>
      </c>
    </row>
    <row r="287" spans="1:16" ht="13.95" customHeight="1" x14ac:dyDescent="0.25">
      <c r="A287" s="2" t="s">
        <v>0</v>
      </c>
      <c r="B287" t="s">
        <v>1</v>
      </c>
      <c r="C287" s="3">
        <v>46276</v>
      </c>
      <c r="D287" t="s">
        <v>2</v>
      </c>
      <c r="E287" t="s">
        <v>0</v>
      </c>
      <c r="F287" s="5">
        <v>122223</v>
      </c>
      <c r="G287" s="5" t="str">
        <f>VLOOKUP(F287,'[1]46974159BCSET2026'!$F:$AE,26,0)</f>
        <v>Sim</v>
      </c>
      <c r="H287" t="s">
        <v>3</v>
      </c>
      <c r="I287" s="3">
        <v>46276</v>
      </c>
      <c r="J287" t="s">
        <v>4</v>
      </c>
      <c r="K287" t="s">
        <v>369</v>
      </c>
      <c r="L287" t="s">
        <v>370</v>
      </c>
      <c r="M287" s="8">
        <v>-758.86</v>
      </c>
      <c r="N287" t="s">
        <v>0</v>
      </c>
      <c r="O287" t="s">
        <v>7</v>
      </c>
      <c r="P287" t="s">
        <v>8</v>
      </c>
    </row>
    <row r="288" spans="1:16" ht="13.95" customHeight="1" x14ac:dyDescent="0.25">
      <c r="A288" s="2" t="s">
        <v>0</v>
      </c>
      <c r="B288" t="s">
        <v>1</v>
      </c>
      <c r="C288" s="3">
        <v>46276</v>
      </c>
      <c r="D288" t="s">
        <v>2</v>
      </c>
      <c r="E288" t="s">
        <v>0</v>
      </c>
      <c r="F288" s="5">
        <v>122642</v>
      </c>
      <c r="G288" s="5" t="str">
        <f>VLOOKUP(F288,'[1]46974159BCSET2026'!$F:$AE,26,0)</f>
        <v>Sim</v>
      </c>
      <c r="H288" t="s">
        <v>3</v>
      </c>
      <c r="I288" s="3">
        <v>46276</v>
      </c>
      <c r="J288" t="s">
        <v>4</v>
      </c>
      <c r="K288" t="s">
        <v>141</v>
      </c>
      <c r="L288" t="s">
        <v>142</v>
      </c>
      <c r="M288" s="8">
        <v>-754.59</v>
      </c>
      <c r="N288" t="s">
        <v>0</v>
      </c>
      <c r="O288" t="s">
        <v>7</v>
      </c>
      <c r="P288" t="s">
        <v>8</v>
      </c>
    </row>
    <row r="289" spans="1:16" ht="13.95" customHeight="1" x14ac:dyDescent="0.25">
      <c r="A289" s="2" t="s">
        <v>0</v>
      </c>
      <c r="B289" t="s">
        <v>1</v>
      </c>
      <c r="C289" s="3">
        <v>46276</v>
      </c>
      <c r="D289" t="s">
        <v>2</v>
      </c>
      <c r="E289" t="s">
        <v>0</v>
      </c>
      <c r="F289" s="5">
        <v>122714</v>
      </c>
      <c r="G289" s="5" t="str">
        <f>VLOOKUP(F289,'[1]46974159BCSET2026'!$F:$AE,26,0)</f>
        <v>Sim</v>
      </c>
      <c r="H289" t="s">
        <v>3</v>
      </c>
      <c r="I289" s="3">
        <v>46276</v>
      </c>
      <c r="J289" t="s">
        <v>4</v>
      </c>
      <c r="K289" t="s">
        <v>371</v>
      </c>
      <c r="L289" t="s">
        <v>372</v>
      </c>
      <c r="M289" s="8">
        <v>-744.5</v>
      </c>
      <c r="N289" t="s">
        <v>0</v>
      </c>
      <c r="O289" t="s">
        <v>7</v>
      </c>
      <c r="P289" t="s">
        <v>8</v>
      </c>
    </row>
    <row r="290" spans="1:16" ht="13.95" customHeight="1" x14ac:dyDescent="0.25">
      <c r="A290" s="2" t="s">
        <v>0</v>
      </c>
      <c r="B290" t="s">
        <v>1</v>
      </c>
      <c r="C290" s="3">
        <v>46276</v>
      </c>
      <c r="D290" t="s">
        <v>2</v>
      </c>
      <c r="E290" t="s">
        <v>0</v>
      </c>
      <c r="F290" s="5">
        <v>122237</v>
      </c>
      <c r="G290" s="5" t="str">
        <f>VLOOKUP(F290,'[1]46974159BCSET2026'!$F:$AE,26,0)</f>
        <v>Sim</v>
      </c>
      <c r="H290" t="s">
        <v>3</v>
      </c>
      <c r="I290" s="3">
        <v>46276</v>
      </c>
      <c r="J290" t="s">
        <v>4</v>
      </c>
      <c r="K290" t="s">
        <v>139</v>
      </c>
      <c r="L290" t="s">
        <v>140</v>
      </c>
      <c r="M290" s="8">
        <v>-734.69</v>
      </c>
      <c r="N290" t="s">
        <v>0</v>
      </c>
      <c r="O290" t="s">
        <v>7</v>
      </c>
      <c r="P290" t="s">
        <v>8</v>
      </c>
    </row>
    <row r="291" spans="1:16" ht="13.95" customHeight="1" x14ac:dyDescent="0.25">
      <c r="A291" s="2" t="s">
        <v>0</v>
      </c>
      <c r="B291" t="s">
        <v>1</v>
      </c>
      <c r="C291" s="3">
        <v>46276</v>
      </c>
      <c r="D291" t="s">
        <v>2</v>
      </c>
      <c r="E291" t="s">
        <v>0</v>
      </c>
      <c r="F291" s="5">
        <v>122195</v>
      </c>
      <c r="G291" s="5" t="str">
        <f>VLOOKUP(F291,'[1]46974159BCSET2026'!$F:$AE,26,0)</f>
        <v>Sim</v>
      </c>
      <c r="H291" t="s">
        <v>3</v>
      </c>
      <c r="I291" s="3">
        <v>46276</v>
      </c>
      <c r="J291" t="s">
        <v>4</v>
      </c>
      <c r="K291" t="s">
        <v>217</v>
      </c>
      <c r="L291" t="s">
        <v>218</v>
      </c>
      <c r="M291" s="8">
        <v>-733.43</v>
      </c>
      <c r="N291" t="s">
        <v>0</v>
      </c>
      <c r="O291" t="s">
        <v>7</v>
      </c>
      <c r="P291" t="s">
        <v>8</v>
      </c>
    </row>
    <row r="292" spans="1:16" ht="13.95" customHeight="1" x14ac:dyDescent="0.25">
      <c r="A292" s="2" t="s">
        <v>0</v>
      </c>
      <c r="B292" t="s">
        <v>1</v>
      </c>
      <c r="C292" s="3">
        <v>46276</v>
      </c>
      <c r="D292" t="s">
        <v>2</v>
      </c>
      <c r="E292" t="s">
        <v>0</v>
      </c>
      <c r="F292" s="5">
        <v>122311</v>
      </c>
      <c r="G292" s="5" t="str">
        <f>VLOOKUP(F292,'[1]46974159BCSET2026'!$F:$AE,26,0)</f>
        <v>Sim</v>
      </c>
      <c r="H292" t="s">
        <v>3</v>
      </c>
      <c r="I292" s="3">
        <v>46276</v>
      </c>
      <c r="J292" t="s">
        <v>4</v>
      </c>
      <c r="K292" t="s">
        <v>373</v>
      </c>
      <c r="L292" t="s">
        <v>374</v>
      </c>
      <c r="M292" s="8">
        <v>-731.76</v>
      </c>
      <c r="N292" t="s">
        <v>0</v>
      </c>
      <c r="O292" t="s">
        <v>7</v>
      </c>
      <c r="P292" t="s">
        <v>8</v>
      </c>
    </row>
    <row r="293" spans="1:16" ht="13.95" customHeight="1" x14ac:dyDescent="0.25">
      <c r="A293" s="2" t="s">
        <v>0</v>
      </c>
      <c r="B293" t="s">
        <v>1</v>
      </c>
      <c r="C293" s="3">
        <v>46276</v>
      </c>
      <c r="D293" t="s">
        <v>2</v>
      </c>
      <c r="E293" t="s">
        <v>0</v>
      </c>
      <c r="F293" s="5">
        <v>122657</v>
      </c>
      <c r="G293" s="5" t="str">
        <f>VLOOKUP(F293,'[1]46974159BCSET2026'!$F:$AE,26,0)</f>
        <v>Sim</v>
      </c>
      <c r="H293" t="s">
        <v>3</v>
      </c>
      <c r="I293" s="3">
        <v>46276</v>
      </c>
      <c r="J293" t="s">
        <v>4</v>
      </c>
      <c r="K293" t="s">
        <v>375</v>
      </c>
      <c r="L293" t="s">
        <v>376</v>
      </c>
      <c r="M293" s="8">
        <v>-727.86</v>
      </c>
      <c r="N293" t="s">
        <v>0</v>
      </c>
      <c r="O293" t="s">
        <v>7</v>
      </c>
      <c r="P293" t="s">
        <v>8</v>
      </c>
    </row>
    <row r="294" spans="1:16" ht="13.95" customHeight="1" x14ac:dyDescent="0.25">
      <c r="A294" s="2" t="s">
        <v>0</v>
      </c>
      <c r="B294" t="s">
        <v>1</v>
      </c>
      <c r="C294" s="3">
        <v>46276</v>
      </c>
      <c r="D294" t="s">
        <v>2</v>
      </c>
      <c r="E294" t="s">
        <v>0</v>
      </c>
      <c r="F294" s="5">
        <v>122676</v>
      </c>
      <c r="G294" s="5" t="str">
        <f>VLOOKUP(F294,'[1]46974159BCSET2026'!$F:$AE,26,0)</f>
        <v>Sim</v>
      </c>
      <c r="H294" t="s">
        <v>3</v>
      </c>
      <c r="I294" s="3">
        <v>46276</v>
      </c>
      <c r="J294" t="s">
        <v>4</v>
      </c>
      <c r="K294" t="s">
        <v>377</v>
      </c>
      <c r="L294" t="s">
        <v>378</v>
      </c>
      <c r="M294" s="8">
        <v>-726.72</v>
      </c>
      <c r="N294" t="s">
        <v>0</v>
      </c>
      <c r="O294" t="s">
        <v>7</v>
      </c>
      <c r="P294" t="s">
        <v>8</v>
      </c>
    </row>
    <row r="295" spans="1:16" ht="13.95" customHeight="1" x14ac:dyDescent="0.25">
      <c r="A295" s="2" t="s">
        <v>0</v>
      </c>
      <c r="B295" t="s">
        <v>1</v>
      </c>
      <c r="C295" s="3">
        <v>46276</v>
      </c>
      <c r="D295" t="s">
        <v>2</v>
      </c>
      <c r="E295" t="s">
        <v>0</v>
      </c>
      <c r="F295" s="5">
        <v>122701</v>
      </c>
      <c r="G295" s="5" t="str">
        <f>VLOOKUP(F295,'[1]46974159BCSET2026'!$F:$AE,26,0)</f>
        <v>Sim</v>
      </c>
      <c r="H295" t="s">
        <v>3</v>
      </c>
      <c r="I295" s="3">
        <v>46276</v>
      </c>
      <c r="J295" t="s">
        <v>4</v>
      </c>
      <c r="K295" t="s">
        <v>305</v>
      </c>
      <c r="L295" t="s">
        <v>306</v>
      </c>
      <c r="M295" s="8">
        <v>-726.72</v>
      </c>
      <c r="N295" t="s">
        <v>0</v>
      </c>
      <c r="O295" t="s">
        <v>7</v>
      </c>
      <c r="P295" t="s">
        <v>8</v>
      </c>
    </row>
    <row r="296" spans="1:16" ht="13.95" customHeight="1" x14ac:dyDescent="0.25">
      <c r="A296" s="2" t="s">
        <v>0</v>
      </c>
      <c r="B296" t="s">
        <v>1</v>
      </c>
      <c r="C296" s="3">
        <v>46276</v>
      </c>
      <c r="D296" t="s">
        <v>2</v>
      </c>
      <c r="E296" t="s">
        <v>0</v>
      </c>
      <c r="F296" s="5">
        <v>122718</v>
      </c>
      <c r="G296" s="5" t="str">
        <f>VLOOKUP(F296,'[1]46974159BCSET2026'!$F:$AE,26,0)</f>
        <v>Sim</v>
      </c>
      <c r="H296" t="s">
        <v>3</v>
      </c>
      <c r="I296" s="3">
        <v>46276</v>
      </c>
      <c r="J296" t="s">
        <v>4</v>
      </c>
      <c r="K296" t="s">
        <v>379</v>
      </c>
      <c r="L296" t="s">
        <v>380</v>
      </c>
      <c r="M296" s="8">
        <v>-726.72</v>
      </c>
      <c r="N296" t="s">
        <v>0</v>
      </c>
      <c r="O296" t="s">
        <v>7</v>
      </c>
      <c r="P296" t="s">
        <v>8</v>
      </c>
    </row>
    <row r="297" spans="1:16" ht="13.95" customHeight="1" x14ac:dyDescent="0.25">
      <c r="A297" s="2" t="s">
        <v>0</v>
      </c>
      <c r="B297" t="s">
        <v>1</v>
      </c>
      <c r="C297" s="3">
        <v>46276</v>
      </c>
      <c r="D297" t="s">
        <v>2</v>
      </c>
      <c r="E297" t="s">
        <v>0</v>
      </c>
      <c r="F297" s="5">
        <v>122728</v>
      </c>
      <c r="G297" s="5" t="str">
        <f>VLOOKUP(F297,'[1]46974159BCSET2026'!$F:$AE,26,0)</f>
        <v>Sim</v>
      </c>
      <c r="H297" t="s">
        <v>3</v>
      </c>
      <c r="I297" s="3">
        <v>46276</v>
      </c>
      <c r="J297" t="s">
        <v>4</v>
      </c>
      <c r="K297" t="s">
        <v>381</v>
      </c>
      <c r="L297" t="s">
        <v>382</v>
      </c>
      <c r="M297" s="8">
        <v>-726.72</v>
      </c>
      <c r="N297" t="s">
        <v>0</v>
      </c>
      <c r="O297" t="s">
        <v>7</v>
      </c>
      <c r="P297" t="s">
        <v>8</v>
      </c>
    </row>
    <row r="298" spans="1:16" ht="13.95" customHeight="1" x14ac:dyDescent="0.25">
      <c r="A298" s="2" t="s">
        <v>0</v>
      </c>
      <c r="B298" t="s">
        <v>1</v>
      </c>
      <c r="C298" s="3">
        <v>46276</v>
      </c>
      <c r="D298" t="s">
        <v>2</v>
      </c>
      <c r="E298" t="s">
        <v>0</v>
      </c>
      <c r="F298" s="5">
        <v>122729</v>
      </c>
      <c r="G298" s="5" t="str">
        <f>VLOOKUP(F298,'[1]46974159BCSET2026'!$F:$AE,26,0)</f>
        <v>Sim</v>
      </c>
      <c r="H298" t="s">
        <v>3</v>
      </c>
      <c r="I298" s="3">
        <v>46276</v>
      </c>
      <c r="J298" t="s">
        <v>4</v>
      </c>
      <c r="K298" t="s">
        <v>383</v>
      </c>
      <c r="L298" t="s">
        <v>384</v>
      </c>
      <c r="M298" s="8">
        <v>-726.72</v>
      </c>
      <c r="N298" t="s">
        <v>0</v>
      </c>
      <c r="O298" t="s">
        <v>7</v>
      </c>
      <c r="P298" t="s">
        <v>8</v>
      </c>
    </row>
    <row r="299" spans="1:16" ht="13.95" customHeight="1" x14ac:dyDescent="0.25">
      <c r="A299" s="2" t="s">
        <v>0</v>
      </c>
      <c r="B299" t="s">
        <v>1</v>
      </c>
      <c r="C299" s="3">
        <v>46276</v>
      </c>
      <c r="D299" t="s">
        <v>2</v>
      </c>
      <c r="E299" t="s">
        <v>0</v>
      </c>
      <c r="F299" s="5">
        <v>122730</v>
      </c>
      <c r="G299" s="5" t="str">
        <f>VLOOKUP(F299,'[1]46974159BCSET2026'!$F:$AE,26,0)</f>
        <v>Sim</v>
      </c>
      <c r="H299" t="s">
        <v>3</v>
      </c>
      <c r="I299" s="3">
        <v>46276</v>
      </c>
      <c r="J299" t="s">
        <v>4</v>
      </c>
      <c r="K299" t="s">
        <v>385</v>
      </c>
      <c r="L299" t="s">
        <v>386</v>
      </c>
      <c r="M299" s="8">
        <v>-726.72</v>
      </c>
      <c r="N299" t="s">
        <v>0</v>
      </c>
      <c r="O299" t="s">
        <v>7</v>
      </c>
      <c r="P299" t="s">
        <v>8</v>
      </c>
    </row>
    <row r="300" spans="1:16" ht="13.95" customHeight="1" x14ac:dyDescent="0.25">
      <c r="A300" s="2" t="s">
        <v>0</v>
      </c>
      <c r="B300" t="s">
        <v>1</v>
      </c>
      <c r="C300" s="3">
        <v>46276</v>
      </c>
      <c r="D300" t="s">
        <v>2</v>
      </c>
      <c r="E300" t="s">
        <v>0</v>
      </c>
      <c r="F300" s="5">
        <v>122731</v>
      </c>
      <c r="G300" s="5" t="str">
        <f>VLOOKUP(F300,'[1]46974159BCSET2026'!$F:$AE,26,0)</f>
        <v>Sim</v>
      </c>
      <c r="H300" t="s">
        <v>3</v>
      </c>
      <c r="I300" s="3">
        <v>46276</v>
      </c>
      <c r="J300" t="s">
        <v>4</v>
      </c>
      <c r="K300" t="s">
        <v>387</v>
      </c>
      <c r="L300" t="s">
        <v>388</v>
      </c>
      <c r="M300" s="8">
        <v>-726.72</v>
      </c>
      <c r="N300" t="s">
        <v>0</v>
      </c>
      <c r="O300" t="s">
        <v>7</v>
      </c>
      <c r="P300" t="s">
        <v>8</v>
      </c>
    </row>
    <row r="301" spans="1:16" ht="13.95" customHeight="1" x14ac:dyDescent="0.25">
      <c r="A301" s="2" t="s">
        <v>0</v>
      </c>
      <c r="B301" t="s">
        <v>1</v>
      </c>
      <c r="C301" s="3">
        <v>46276</v>
      </c>
      <c r="D301" t="s">
        <v>2</v>
      </c>
      <c r="E301" t="s">
        <v>0</v>
      </c>
      <c r="F301" s="5">
        <v>122738</v>
      </c>
      <c r="G301" s="5" t="str">
        <f>VLOOKUP(F301,'[1]46974159BCSET2026'!$F:$AE,26,0)</f>
        <v>Sim</v>
      </c>
      <c r="H301" t="s">
        <v>3</v>
      </c>
      <c r="I301" s="3">
        <v>46276</v>
      </c>
      <c r="J301" t="s">
        <v>4</v>
      </c>
      <c r="K301" t="s">
        <v>185</v>
      </c>
      <c r="L301" t="s">
        <v>186</v>
      </c>
      <c r="M301" s="8">
        <v>-722.12</v>
      </c>
      <c r="N301" t="s">
        <v>0</v>
      </c>
      <c r="O301" t="s">
        <v>7</v>
      </c>
      <c r="P301" t="s">
        <v>8</v>
      </c>
    </row>
    <row r="302" spans="1:16" ht="13.95" customHeight="1" x14ac:dyDescent="0.25">
      <c r="A302" s="2" t="s">
        <v>0</v>
      </c>
      <c r="B302" t="s">
        <v>1</v>
      </c>
      <c r="C302" s="3">
        <v>46276</v>
      </c>
      <c r="D302" t="s">
        <v>2</v>
      </c>
      <c r="E302" t="s">
        <v>0</v>
      </c>
      <c r="F302" s="5">
        <v>122226</v>
      </c>
      <c r="G302" s="5" t="str">
        <f>VLOOKUP(F302,'[1]46974159BCSET2026'!$F:$AE,26,0)</f>
        <v>Sim</v>
      </c>
      <c r="H302" t="s">
        <v>3</v>
      </c>
      <c r="I302" s="3">
        <v>46276</v>
      </c>
      <c r="J302" t="s">
        <v>4</v>
      </c>
      <c r="K302" t="s">
        <v>183</v>
      </c>
      <c r="L302" t="s">
        <v>184</v>
      </c>
      <c r="M302" s="8">
        <v>-714.45</v>
      </c>
      <c r="N302" t="s">
        <v>0</v>
      </c>
      <c r="O302" t="s">
        <v>7</v>
      </c>
      <c r="P302" t="s">
        <v>8</v>
      </c>
    </row>
    <row r="303" spans="1:16" ht="13.95" customHeight="1" x14ac:dyDescent="0.25">
      <c r="A303" s="2" t="s">
        <v>0</v>
      </c>
      <c r="B303" t="s">
        <v>1</v>
      </c>
      <c r="C303" s="3">
        <v>46276</v>
      </c>
      <c r="D303" t="s">
        <v>2</v>
      </c>
      <c r="E303" t="s">
        <v>0</v>
      </c>
      <c r="F303" s="5">
        <v>122249</v>
      </c>
      <c r="G303" s="5" t="str">
        <f>VLOOKUP(F303,'[1]46974159BCSET2026'!$F:$AE,26,0)</f>
        <v>Sim</v>
      </c>
      <c r="H303" t="s">
        <v>3</v>
      </c>
      <c r="I303" s="3">
        <v>46276</v>
      </c>
      <c r="J303" t="s">
        <v>4</v>
      </c>
      <c r="K303" t="s">
        <v>389</v>
      </c>
      <c r="L303" t="s">
        <v>390</v>
      </c>
      <c r="M303" s="8">
        <v>-700.84</v>
      </c>
      <c r="N303" t="s">
        <v>0</v>
      </c>
      <c r="O303" t="s">
        <v>7</v>
      </c>
      <c r="P303" t="s">
        <v>8</v>
      </c>
    </row>
    <row r="304" spans="1:16" ht="13.95" customHeight="1" x14ac:dyDescent="0.25">
      <c r="A304" s="2" t="s">
        <v>0</v>
      </c>
      <c r="B304" t="s">
        <v>1</v>
      </c>
      <c r="C304" s="3">
        <v>46276</v>
      </c>
      <c r="D304" t="s">
        <v>2</v>
      </c>
      <c r="E304" t="s">
        <v>0</v>
      </c>
      <c r="F304" s="5">
        <v>122224</v>
      </c>
      <c r="G304" s="5" t="str">
        <f>VLOOKUP(F304,'[1]46974159BCSET2026'!$F:$AE,26,0)</f>
        <v>Sim</v>
      </c>
      <c r="H304" t="s">
        <v>3</v>
      </c>
      <c r="I304" s="3">
        <v>46276</v>
      </c>
      <c r="J304" t="s">
        <v>4</v>
      </c>
      <c r="K304" t="s">
        <v>22</v>
      </c>
      <c r="L304" t="s">
        <v>23</v>
      </c>
      <c r="M304" s="8">
        <v>-686.66</v>
      </c>
      <c r="N304" t="s">
        <v>0</v>
      </c>
      <c r="O304" t="s">
        <v>7</v>
      </c>
      <c r="P304" t="s">
        <v>8</v>
      </c>
    </row>
    <row r="305" spans="1:16" ht="13.95" customHeight="1" x14ac:dyDescent="0.25">
      <c r="A305" s="2" t="s">
        <v>0</v>
      </c>
      <c r="B305" t="s">
        <v>1</v>
      </c>
      <c r="C305" s="3">
        <v>46276</v>
      </c>
      <c r="D305" t="s">
        <v>2</v>
      </c>
      <c r="E305" t="s">
        <v>0</v>
      </c>
      <c r="F305" s="5">
        <v>122186</v>
      </c>
      <c r="G305" s="5" t="str">
        <f>VLOOKUP(F305,'[1]46974159BCSET2026'!$F:$AE,26,0)</f>
        <v>Sim</v>
      </c>
      <c r="H305" t="s">
        <v>3</v>
      </c>
      <c r="I305" s="3">
        <v>46276</v>
      </c>
      <c r="J305" t="s">
        <v>4</v>
      </c>
      <c r="K305" t="s">
        <v>391</v>
      </c>
      <c r="L305" t="s">
        <v>392</v>
      </c>
      <c r="M305" s="8">
        <v>-683.67</v>
      </c>
      <c r="N305" t="s">
        <v>0</v>
      </c>
      <c r="O305" t="s">
        <v>7</v>
      </c>
      <c r="P305" t="s">
        <v>8</v>
      </c>
    </row>
    <row r="306" spans="1:16" ht="13.95" customHeight="1" x14ac:dyDescent="0.25">
      <c r="A306" s="2" t="s">
        <v>0</v>
      </c>
      <c r="B306" t="s">
        <v>1</v>
      </c>
      <c r="C306" s="3">
        <v>46276</v>
      </c>
      <c r="D306" t="s">
        <v>2</v>
      </c>
      <c r="E306" t="s">
        <v>0</v>
      </c>
      <c r="F306" s="5">
        <v>122642</v>
      </c>
      <c r="G306" s="5" t="str">
        <f>VLOOKUP(F306,'[1]46974159BCSET2026'!$F:$AE,26,0)</f>
        <v>Sim</v>
      </c>
      <c r="H306" t="s">
        <v>3</v>
      </c>
      <c r="I306" s="3">
        <v>46276</v>
      </c>
      <c r="J306" t="s">
        <v>4</v>
      </c>
      <c r="K306" t="s">
        <v>141</v>
      </c>
      <c r="L306" t="s">
        <v>142</v>
      </c>
      <c r="M306" s="8">
        <v>-683.41</v>
      </c>
      <c r="N306" t="s">
        <v>0</v>
      </c>
      <c r="O306" t="s">
        <v>7</v>
      </c>
      <c r="P306" t="s">
        <v>8</v>
      </c>
    </row>
    <row r="307" spans="1:16" ht="13.95" customHeight="1" x14ac:dyDescent="0.25">
      <c r="A307" s="2" t="s">
        <v>0</v>
      </c>
      <c r="B307" t="s">
        <v>1</v>
      </c>
      <c r="C307" s="3">
        <v>46276</v>
      </c>
      <c r="D307" t="s">
        <v>2</v>
      </c>
      <c r="E307" t="s">
        <v>0</v>
      </c>
      <c r="F307" s="5">
        <v>122640</v>
      </c>
      <c r="G307" s="5" t="str">
        <f>VLOOKUP(F307,'[1]46974159BCSET2026'!$F:$AE,26,0)</f>
        <v>Sim</v>
      </c>
      <c r="H307" t="s">
        <v>3</v>
      </c>
      <c r="I307" s="3">
        <v>46276</v>
      </c>
      <c r="J307" t="s">
        <v>4</v>
      </c>
      <c r="K307" t="s">
        <v>265</v>
      </c>
      <c r="L307" t="s">
        <v>266</v>
      </c>
      <c r="M307" s="8">
        <v>-667.93</v>
      </c>
      <c r="N307" t="s">
        <v>0</v>
      </c>
      <c r="O307" t="s">
        <v>7</v>
      </c>
      <c r="P307" t="s">
        <v>8</v>
      </c>
    </row>
    <row r="308" spans="1:16" ht="13.95" customHeight="1" x14ac:dyDescent="0.25">
      <c r="A308" s="2" t="s">
        <v>0</v>
      </c>
      <c r="B308" t="s">
        <v>1</v>
      </c>
      <c r="C308" s="3">
        <v>46276</v>
      </c>
      <c r="D308" t="s">
        <v>2</v>
      </c>
      <c r="E308" t="s">
        <v>0</v>
      </c>
      <c r="F308" s="5">
        <v>122621</v>
      </c>
      <c r="G308" s="5" t="str">
        <f>VLOOKUP(F308,'[1]46974159BCSET2026'!$F:$AE,26,0)</f>
        <v>Sim</v>
      </c>
      <c r="H308" t="s">
        <v>3</v>
      </c>
      <c r="I308" s="3">
        <v>46276</v>
      </c>
      <c r="J308" t="s">
        <v>4</v>
      </c>
      <c r="K308" t="s">
        <v>393</v>
      </c>
      <c r="L308" t="s">
        <v>394</v>
      </c>
      <c r="M308" s="8">
        <v>-655.1</v>
      </c>
      <c r="N308" t="s">
        <v>0</v>
      </c>
      <c r="O308" t="s">
        <v>7</v>
      </c>
      <c r="P308" t="s">
        <v>8</v>
      </c>
    </row>
    <row r="309" spans="1:16" ht="13.95" customHeight="1" x14ac:dyDescent="0.25">
      <c r="A309" s="2" t="s">
        <v>0</v>
      </c>
      <c r="B309" t="s">
        <v>1</v>
      </c>
      <c r="C309" s="3">
        <v>46276</v>
      </c>
      <c r="D309" t="s">
        <v>2</v>
      </c>
      <c r="E309" t="s">
        <v>0</v>
      </c>
      <c r="F309" s="5">
        <v>122257</v>
      </c>
      <c r="G309" s="5" t="str">
        <f>VLOOKUP(F309,'[1]46974159BCSET2026'!$F:$AE,26,0)</f>
        <v>Sim</v>
      </c>
      <c r="H309" t="s">
        <v>3</v>
      </c>
      <c r="I309" s="3">
        <v>46276</v>
      </c>
      <c r="J309" t="s">
        <v>4</v>
      </c>
      <c r="K309" t="s">
        <v>191</v>
      </c>
      <c r="L309" t="s">
        <v>192</v>
      </c>
      <c r="M309" s="8">
        <v>-654.99</v>
      </c>
      <c r="N309" t="s">
        <v>0</v>
      </c>
      <c r="O309" t="s">
        <v>7</v>
      </c>
      <c r="P309" t="s">
        <v>8</v>
      </c>
    </row>
    <row r="310" spans="1:16" ht="13.95" customHeight="1" x14ac:dyDescent="0.25">
      <c r="A310" s="2" t="s">
        <v>0</v>
      </c>
      <c r="B310" t="s">
        <v>1</v>
      </c>
      <c r="C310" s="3">
        <v>46276</v>
      </c>
      <c r="D310" t="s">
        <v>2</v>
      </c>
      <c r="E310" t="s">
        <v>0</v>
      </c>
      <c r="F310" s="5">
        <v>122743</v>
      </c>
      <c r="G310" s="5" t="str">
        <f>VLOOKUP(F310,'[1]46974159BCSET2026'!$F:$AE,26,0)</f>
        <v>Sim</v>
      </c>
      <c r="H310" t="s">
        <v>3</v>
      </c>
      <c r="I310" s="3">
        <v>46276</v>
      </c>
      <c r="J310" t="s">
        <v>4</v>
      </c>
      <c r="K310" t="s">
        <v>395</v>
      </c>
      <c r="L310" t="s">
        <v>396</v>
      </c>
      <c r="M310" s="8">
        <v>-652.78</v>
      </c>
      <c r="N310" t="s">
        <v>0</v>
      </c>
      <c r="O310" t="s">
        <v>7</v>
      </c>
      <c r="P310" t="s">
        <v>8</v>
      </c>
    </row>
    <row r="311" spans="1:16" ht="13.95" customHeight="1" x14ac:dyDescent="0.25">
      <c r="A311" s="2" t="s">
        <v>0</v>
      </c>
      <c r="B311" t="s">
        <v>1</v>
      </c>
      <c r="C311" s="3">
        <v>46276</v>
      </c>
      <c r="D311" t="s">
        <v>2</v>
      </c>
      <c r="E311" t="s">
        <v>0</v>
      </c>
      <c r="F311" s="5">
        <v>122757</v>
      </c>
      <c r="G311" s="5" t="str">
        <f>VLOOKUP(F311,'[1]46974159BCSET2026'!$F:$AE,26,0)</f>
        <v>Sim</v>
      </c>
      <c r="H311" t="s">
        <v>3</v>
      </c>
      <c r="I311" s="3">
        <v>46276</v>
      </c>
      <c r="J311" t="s">
        <v>4</v>
      </c>
      <c r="K311" t="s">
        <v>397</v>
      </c>
      <c r="L311" t="s">
        <v>398</v>
      </c>
      <c r="M311" s="8">
        <v>-650.46</v>
      </c>
      <c r="N311" t="s">
        <v>0</v>
      </c>
      <c r="O311" t="s">
        <v>7</v>
      </c>
      <c r="P311" t="s">
        <v>8</v>
      </c>
    </row>
    <row r="312" spans="1:16" ht="13.95" customHeight="1" x14ac:dyDescent="0.25">
      <c r="A312" s="2" t="s">
        <v>0</v>
      </c>
      <c r="B312" t="s">
        <v>1</v>
      </c>
      <c r="C312" s="3">
        <v>46276</v>
      </c>
      <c r="D312" t="s">
        <v>2</v>
      </c>
      <c r="E312" t="s">
        <v>0</v>
      </c>
      <c r="F312" s="5">
        <v>122245</v>
      </c>
      <c r="G312" s="5" t="str">
        <f>VLOOKUP(F312,'[1]46974159BCSET2026'!$F:$AE,26,0)</f>
        <v>Sim</v>
      </c>
      <c r="H312" t="s">
        <v>3</v>
      </c>
      <c r="I312" s="3">
        <v>46276</v>
      </c>
      <c r="J312" t="s">
        <v>4</v>
      </c>
      <c r="K312" t="s">
        <v>56</v>
      </c>
      <c r="L312" t="s">
        <v>57</v>
      </c>
      <c r="M312" s="8">
        <v>-642.99</v>
      </c>
      <c r="N312" t="s">
        <v>0</v>
      </c>
      <c r="O312" t="s">
        <v>7</v>
      </c>
      <c r="P312" t="s">
        <v>8</v>
      </c>
    </row>
    <row r="313" spans="1:16" ht="13.95" customHeight="1" x14ac:dyDescent="0.25">
      <c r="A313" s="2" t="s">
        <v>0</v>
      </c>
      <c r="B313" t="s">
        <v>1</v>
      </c>
      <c r="C313" s="3">
        <v>46276</v>
      </c>
      <c r="D313" t="s">
        <v>2</v>
      </c>
      <c r="E313" t="s">
        <v>0</v>
      </c>
      <c r="F313" s="5">
        <v>122522</v>
      </c>
      <c r="G313" s="5" t="str">
        <f>VLOOKUP(F313,'[1]46974159BCSET2026'!$F:$AE,26,0)</f>
        <v>Sim</v>
      </c>
      <c r="H313" t="s">
        <v>3</v>
      </c>
      <c r="I313" s="3">
        <v>46276</v>
      </c>
      <c r="J313" t="s">
        <v>4</v>
      </c>
      <c r="K313" t="s">
        <v>399</v>
      </c>
      <c r="L313" t="s">
        <v>400</v>
      </c>
      <c r="M313" s="8">
        <v>-622.98</v>
      </c>
      <c r="N313" t="s">
        <v>0</v>
      </c>
      <c r="O313" t="s">
        <v>7</v>
      </c>
      <c r="P313" t="s">
        <v>8</v>
      </c>
    </row>
    <row r="314" spans="1:16" ht="13.95" customHeight="1" x14ac:dyDescent="0.25">
      <c r="A314" s="2" t="s">
        <v>0</v>
      </c>
      <c r="B314" t="s">
        <v>1</v>
      </c>
      <c r="C314" s="3">
        <v>46276</v>
      </c>
      <c r="D314" t="s">
        <v>2</v>
      </c>
      <c r="E314" t="s">
        <v>0</v>
      </c>
      <c r="F314" s="5">
        <v>122530</v>
      </c>
      <c r="G314" s="5" t="str">
        <f>VLOOKUP(F314,'[1]46974159BCSET2026'!$F:$AE,26,0)</f>
        <v>Sim</v>
      </c>
      <c r="H314" t="s">
        <v>3</v>
      </c>
      <c r="I314" s="3">
        <v>46276</v>
      </c>
      <c r="J314" t="s">
        <v>4</v>
      </c>
      <c r="K314" t="s">
        <v>109</v>
      </c>
      <c r="L314" t="s">
        <v>110</v>
      </c>
      <c r="M314" s="8">
        <v>-616.20000000000005</v>
      </c>
      <c r="N314" t="s">
        <v>0</v>
      </c>
      <c r="O314" t="s">
        <v>7</v>
      </c>
      <c r="P314" t="s">
        <v>8</v>
      </c>
    </row>
    <row r="315" spans="1:16" ht="13.95" customHeight="1" x14ac:dyDescent="0.25">
      <c r="A315" s="2" t="s">
        <v>0</v>
      </c>
      <c r="B315" t="s">
        <v>1</v>
      </c>
      <c r="C315" s="3">
        <v>46276</v>
      </c>
      <c r="D315" t="s">
        <v>2</v>
      </c>
      <c r="E315" t="s">
        <v>0</v>
      </c>
      <c r="F315" s="5">
        <v>122235</v>
      </c>
      <c r="G315" s="5" t="str">
        <f>VLOOKUP(F315,'[1]46974159BCSET2026'!$F:$AE,26,0)</f>
        <v>Sim</v>
      </c>
      <c r="H315" t="s">
        <v>3</v>
      </c>
      <c r="I315" s="3">
        <v>46276</v>
      </c>
      <c r="J315" t="s">
        <v>4</v>
      </c>
      <c r="K315" t="s">
        <v>401</v>
      </c>
      <c r="L315" t="s">
        <v>402</v>
      </c>
      <c r="M315" s="8">
        <v>-599.39</v>
      </c>
      <c r="N315" t="s">
        <v>0</v>
      </c>
      <c r="O315" t="s">
        <v>7</v>
      </c>
      <c r="P315" t="s">
        <v>8</v>
      </c>
    </row>
    <row r="316" spans="1:16" ht="13.95" customHeight="1" x14ac:dyDescent="0.25">
      <c r="A316" s="2" t="s">
        <v>0</v>
      </c>
      <c r="B316" t="s">
        <v>1</v>
      </c>
      <c r="C316" s="3">
        <v>46276</v>
      </c>
      <c r="D316" t="s">
        <v>2</v>
      </c>
      <c r="E316" t="s">
        <v>0</v>
      </c>
      <c r="F316" s="5">
        <v>122191</v>
      </c>
      <c r="G316" s="5" t="str">
        <f>VLOOKUP(F316,'[1]46974159BCSET2026'!$F:$AE,26,0)</f>
        <v>Sim</v>
      </c>
      <c r="H316" t="s">
        <v>3</v>
      </c>
      <c r="I316" s="3">
        <v>46276</v>
      </c>
      <c r="J316" t="s">
        <v>4</v>
      </c>
      <c r="K316" t="s">
        <v>48</v>
      </c>
      <c r="L316" t="s">
        <v>49</v>
      </c>
      <c r="M316" s="8">
        <v>-593.74</v>
      </c>
      <c r="N316" t="s">
        <v>0</v>
      </c>
      <c r="O316" t="s">
        <v>7</v>
      </c>
      <c r="P316" t="s">
        <v>8</v>
      </c>
    </row>
    <row r="317" spans="1:16" ht="13.95" customHeight="1" x14ac:dyDescent="0.25">
      <c r="A317" s="2" t="s">
        <v>0</v>
      </c>
      <c r="B317" t="s">
        <v>1</v>
      </c>
      <c r="C317" s="3">
        <v>46276</v>
      </c>
      <c r="D317" t="s">
        <v>2</v>
      </c>
      <c r="E317" t="s">
        <v>0</v>
      </c>
      <c r="F317" s="5">
        <v>122750</v>
      </c>
      <c r="G317" s="5" t="str">
        <f>VLOOKUP(F317,'[1]46974159BCSET2026'!$F:$AE,26,0)</f>
        <v>Sim</v>
      </c>
      <c r="H317" t="s">
        <v>3</v>
      </c>
      <c r="I317" s="3">
        <v>46276</v>
      </c>
      <c r="J317" t="s">
        <v>4</v>
      </c>
      <c r="K317" t="s">
        <v>403</v>
      </c>
      <c r="L317" t="s">
        <v>404</v>
      </c>
      <c r="M317" s="8">
        <v>-588.61</v>
      </c>
      <c r="N317" t="s">
        <v>0</v>
      </c>
      <c r="O317" t="s">
        <v>7</v>
      </c>
      <c r="P317" t="s">
        <v>8</v>
      </c>
    </row>
    <row r="318" spans="1:16" ht="13.95" customHeight="1" x14ac:dyDescent="0.25">
      <c r="A318" s="2" t="s">
        <v>0</v>
      </c>
      <c r="B318" t="s">
        <v>1</v>
      </c>
      <c r="C318" s="3">
        <v>46276</v>
      </c>
      <c r="D318" t="s">
        <v>2</v>
      </c>
      <c r="E318" t="s">
        <v>0</v>
      </c>
      <c r="F318" s="5">
        <v>122263</v>
      </c>
      <c r="G318" s="5" t="str">
        <f>VLOOKUP(F318,'[1]46974159BCSET2026'!$F:$AE,26,0)</f>
        <v>Sim</v>
      </c>
      <c r="H318" t="s">
        <v>3</v>
      </c>
      <c r="I318" s="3">
        <v>46276</v>
      </c>
      <c r="J318" t="s">
        <v>4</v>
      </c>
      <c r="K318" t="s">
        <v>201</v>
      </c>
      <c r="L318" t="s">
        <v>202</v>
      </c>
      <c r="M318" s="8">
        <v>-583.66999999999996</v>
      </c>
      <c r="N318" t="s">
        <v>0</v>
      </c>
      <c r="O318" t="s">
        <v>7</v>
      </c>
      <c r="P318" t="s">
        <v>8</v>
      </c>
    </row>
    <row r="319" spans="1:16" ht="13.95" customHeight="1" x14ac:dyDescent="0.25">
      <c r="A319" s="2" t="s">
        <v>0</v>
      </c>
      <c r="B319" t="s">
        <v>1</v>
      </c>
      <c r="C319" s="3">
        <v>46276</v>
      </c>
      <c r="D319" t="s">
        <v>2</v>
      </c>
      <c r="E319" t="s">
        <v>0</v>
      </c>
      <c r="F319" s="5">
        <v>122652</v>
      </c>
      <c r="G319" s="5" t="str">
        <f>VLOOKUP(F319,'[1]46974159BCSET2026'!$F:$AE,26,0)</f>
        <v>Sim</v>
      </c>
      <c r="H319" t="s">
        <v>3</v>
      </c>
      <c r="I319" s="3">
        <v>46276</v>
      </c>
      <c r="J319" t="s">
        <v>4</v>
      </c>
      <c r="K319" t="s">
        <v>405</v>
      </c>
      <c r="L319" t="s">
        <v>406</v>
      </c>
      <c r="M319" s="8">
        <v>-575.87</v>
      </c>
      <c r="N319" t="s">
        <v>0</v>
      </c>
      <c r="O319" t="s">
        <v>7</v>
      </c>
      <c r="P319" t="s">
        <v>8</v>
      </c>
    </row>
    <row r="320" spans="1:16" ht="13.95" customHeight="1" x14ac:dyDescent="0.25">
      <c r="A320" s="2" t="s">
        <v>0</v>
      </c>
      <c r="B320" t="s">
        <v>1</v>
      </c>
      <c r="C320" s="3">
        <v>46276</v>
      </c>
      <c r="D320" t="s">
        <v>2</v>
      </c>
      <c r="E320" t="s">
        <v>0</v>
      </c>
      <c r="F320" s="5">
        <v>122291</v>
      </c>
      <c r="G320" s="5" t="str">
        <f>VLOOKUP(F320,'[1]46974159BCSET2026'!$F:$AE,26,0)</f>
        <v>Sim</v>
      </c>
      <c r="H320" t="s">
        <v>3</v>
      </c>
      <c r="I320" s="3">
        <v>46276</v>
      </c>
      <c r="J320" t="s">
        <v>4</v>
      </c>
      <c r="K320" t="s">
        <v>407</v>
      </c>
      <c r="L320" t="s">
        <v>408</v>
      </c>
      <c r="M320" s="8">
        <v>-562.69000000000005</v>
      </c>
      <c r="N320" t="s">
        <v>0</v>
      </c>
      <c r="O320" t="s">
        <v>7</v>
      </c>
      <c r="P320" t="s">
        <v>8</v>
      </c>
    </row>
    <row r="321" spans="1:16" ht="13.95" customHeight="1" x14ac:dyDescent="0.25">
      <c r="A321" s="2" t="s">
        <v>0</v>
      </c>
      <c r="B321" t="s">
        <v>1</v>
      </c>
      <c r="C321" s="3">
        <v>46276</v>
      </c>
      <c r="D321" t="s">
        <v>2</v>
      </c>
      <c r="E321" t="s">
        <v>0</v>
      </c>
      <c r="F321" s="5">
        <v>122237</v>
      </c>
      <c r="G321" s="5" t="str">
        <f>VLOOKUP(F321,'[1]46974159BCSET2026'!$F:$AE,26,0)</f>
        <v>Sim</v>
      </c>
      <c r="H321" t="s">
        <v>3</v>
      </c>
      <c r="I321" s="3">
        <v>46276</v>
      </c>
      <c r="J321" t="s">
        <v>4</v>
      </c>
      <c r="K321" t="s">
        <v>139</v>
      </c>
      <c r="L321" t="s">
        <v>140</v>
      </c>
      <c r="M321" s="8">
        <v>-562.25</v>
      </c>
      <c r="N321" t="s">
        <v>0</v>
      </c>
      <c r="O321" t="s">
        <v>7</v>
      </c>
      <c r="P321" t="s">
        <v>8</v>
      </c>
    </row>
    <row r="322" spans="1:16" ht="13.95" customHeight="1" x14ac:dyDescent="0.25">
      <c r="A322" s="2" t="s">
        <v>0</v>
      </c>
      <c r="B322" t="s">
        <v>1</v>
      </c>
      <c r="C322" s="3">
        <v>46276</v>
      </c>
      <c r="D322" t="s">
        <v>2</v>
      </c>
      <c r="E322" t="s">
        <v>0</v>
      </c>
      <c r="F322" s="5">
        <v>122415</v>
      </c>
      <c r="G322" s="5" t="str">
        <f>VLOOKUP(F322,'[1]46974159BCSET2026'!$F:$AE,26,0)</f>
        <v>Sim</v>
      </c>
      <c r="H322" t="s">
        <v>3</v>
      </c>
      <c r="I322" s="3">
        <v>46276</v>
      </c>
      <c r="J322" t="s">
        <v>4</v>
      </c>
      <c r="K322" t="s">
        <v>235</v>
      </c>
      <c r="L322" t="s">
        <v>236</v>
      </c>
      <c r="M322" s="8">
        <v>-556.12</v>
      </c>
      <c r="N322" t="s">
        <v>0</v>
      </c>
      <c r="O322" t="s">
        <v>7</v>
      </c>
      <c r="P322" t="s">
        <v>8</v>
      </c>
    </row>
    <row r="323" spans="1:16" ht="13.95" customHeight="1" x14ac:dyDescent="0.25">
      <c r="A323" s="2" t="s">
        <v>0</v>
      </c>
      <c r="B323" t="s">
        <v>1</v>
      </c>
      <c r="C323" s="3">
        <v>46276</v>
      </c>
      <c r="D323" t="s">
        <v>2</v>
      </c>
      <c r="E323" t="s">
        <v>0</v>
      </c>
      <c r="F323" s="5">
        <v>122612</v>
      </c>
      <c r="G323" s="5" t="str">
        <f>VLOOKUP(F323,'[1]46974159BCSET2026'!$F:$AE,26,0)</f>
        <v>Sim</v>
      </c>
      <c r="H323" t="s">
        <v>3</v>
      </c>
      <c r="I323" s="3">
        <v>46276</v>
      </c>
      <c r="J323" t="s">
        <v>4</v>
      </c>
      <c r="K323" t="s">
        <v>409</v>
      </c>
      <c r="L323" t="s">
        <v>410</v>
      </c>
      <c r="M323" s="8">
        <v>-556.12</v>
      </c>
      <c r="N323" t="s">
        <v>0</v>
      </c>
      <c r="O323" t="s">
        <v>7</v>
      </c>
      <c r="P323" t="s">
        <v>8</v>
      </c>
    </row>
    <row r="324" spans="1:16" ht="13.95" customHeight="1" x14ac:dyDescent="0.25">
      <c r="A324" s="2" t="s">
        <v>0</v>
      </c>
      <c r="B324" t="s">
        <v>1</v>
      </c>
      <c r="C324" s="3">
        <v>46276</v>
      </c>
      <c r="D324" t="s">
        <v>2</v>
      </c>
      <c r="E324" t="s">
        <v>0</v>
      </c>
      <c r="F324" s="5">
        <v>122488</v>
      </c>
      <c r="G324" s="5" t="str">
        <f>VLOOKUP(F324,'[1]46974159BCSET2026'!$F:$AE,26,0)</f>
        <v>Sim</v>
      </c>
      <c r="H324" t="s">
        <v>3</v>
      </c>
      <c r="I324" s="3">
        <v>46276</v>
      </c>
      <c r="J324" t="s">
        <v>4</v>
      </c>
      <c r="K324" t="s">
        <v>411</v>
      </c>
      <c r="L324" t="s">
        <v>412</v>
      </c>
      <c r="M324" s="8">
        <v>-556.12</v>
      </c>
      <c r="N324" t="s">
        <v>0</v>
      </c>
      <c r="O324" t="s">
        <v>7</v>
      </c>
      <c r="P324" t="s">
        <v>8</v>
      </c>
    </row>
    <row r="325" spans="1:16" ht="13.95" customHeight="1" x14ac:dyDescent="0.25">
      <c r="A325" s="2" t="s">
        <v>0</v>
      </c>
      <c r="B325" t="s">
        <v>1</v>
      </c>
      <c r="C325" s="3">
        <v>46276</v>
      </c>
      <c r="D325" t="s">
        <v>2</v>
      </c>
      <c r="E325" t="s">
        <v>0</v>
      </c>
      <c r="F325" s="5">
        <v>122297</v>
      </c>
      <c r="G325" s="5" t="str">
        <f>VLOOKUP(F325,'[1]46974159BCSET2026'!$F:$AE,26,0)</f>
        <v>Sim</v>
      </c>
      <c r="H325" t="s">
        <v>3</v>
      </c>
      <c r="I325" s="3">
        <v>46276</v>
      </c>
      <c r="J325" t="s">
        <v>4</v>
      </c>
      <c r="K325" t="s">
        <v>143</v>
      </c>
      <c r="L325" t="s">
        <v>144</v>
      </c>
      <c r="M325" s="8">
        <v>-551.02</v>
      </c>
      <c r="N325" t="s">
        <v>0</v>
      </c>
      <c r="O325" t="s">
        <v>7</v>
      </c>
      <c r="P325" t="s">
        <v>8</v>
      </c>
    </row>
    <row r="326" spans="1:16" ht="13.95" customHeight="1" x14ac:dyDescent="0.25">
      <c r="A326" s="2" t="s">
        <v>0</v>
      </c>
      <c r="B326" t="s">
        <v>1</v>
      </c>
      <c r="C326" s="3">
        <v>46276</v>
      </c>
      <c r="D326" t="s">
        <v>2</v>
      </c>
      <c r="E326" t="s">
        <v>0</v>
      </c>
      <c r="F326" s="5">
        <v>122263</v>
      </c>
      <c r="G326" s="5" t="str">
        <f>VLOOKUP(F326,'[1]46974159BCSET2026'!$F:$AE,26,0)</f>
        <v>Sim</v>
      </c>
      <c r="H326" t="s">
        <v>3</v>
      </c>
      <c r="I326" s="3">
        <v>46276</v>
      </c>
      <c r="J326" t="s">
        <v>4</v>
      </c>
      <c r="K326" t="s">
        <v>201</v>
      </c>
      <c r="L326" t="s">
        <v>202</v>
      </c>
      <c r="M326" s="8">
        <v>-546.20000000000005</v>
      </c>
      <c r="N326" t="s">
        <v>0</v>
      </c>
      <c r="O326" t="s">
        <v>7</v>
      </c>
      <c r="P326" t="s">
        <v>8</v>
      </c>
    </row>
    <row r="327" spans="1:16" ht="13.95" customHeight="1" x14ac:dyDescent="0.25">
      <c r="A327" s="2" t="s">
        <v>0</v>
      </c>
      <c r="B327" t="s">
        <v>1</v>
      </c>
      <c r="C327" s="3">
        <v>46276</v>
      </c>
      <c r="D327" t="s">
        <v>2</v>
      </c>
      <c r="E327" t="s">
        <v>0</v>
      </c>
      <c r="F327" s="5">
        <v>122222</v>
      </c>
      <c r="G327" s="5" t="str">
        <f>VLOOKUP(F327,'[1]46974159BCSET2026'!$F:$AE,26,0)</f>
        <v>Sim</v>
      </c>
      <c r="H327" t="s">
        <v>3</v>
      </c>
      <c r="I327" s="3">
        <v>46276</v>
      </c>
      <c r="J327" t="s">
        <v>4</v>
      </c>
      <c r="K327" t="s">
        <v>413</v>
      </c>
      <c r="L327" t="s">
        <v>414</v>
      </c>
      <c r="M327" s="8">
        <v>-541.28</v>
      </c>
      <c r="N327" t="s">
        <v>0</v>
      </c>
      <c r="O327" t="s">
        <v>7</v>
      </c>
      <c r="P327" t="s">
        <v>8</v>
      </c>
    </row>
    <row r="328" spans="1:16" ht="13.95" customHeight="1" x14ac:dyDescent="0.25">
      <c r="A328" s="2" t="s">
        <v>0</v>
      </c>
      <c r="B328" t="s">
        <v>1</v>
      </c>
      <c r="C328" s="3">
        <v>46276</v>
      </c>
      <c r="D328" t="s">
        <v>2</v>
      </c>
      <c r="E328" t="s">
        <v>0</v>
      </c>
      <c r="F328" s="5">
        <v>122304</v>
      </c>
      <c r="G328" s="5" t="str">
        <f>VLOOKUP(F328,'[1]46974159BCSET2026'!$F:$AE,26,0)</f>
        <v>Sim</v>
      </c>
      <c r="H328" t="s">
        <v>3</v>
      </c>
      <c r="I328" s="3">
        <v>46276</v>
      </c>
      <c r="J328" t="s">
        <v>4</v>
      </c>
      <c r="K328" t="s">
        <v>415</v>
      </c>
      <c r="L328" t="s">
        <v>416</v>
      </c>
      <c r="M328" s="8">
        <v>-539.45000000000005</v>
      </c>
      <c r="N328" t="s">
        <v>0</v>
      </c>
      <c r="O328" t="s">
        <v>7</v>
      </c>
      <c r="P328" t="s">
        <v>8</v>
      </c>
    </row>
    <row r="329" spans="1:16" ht="13.95" customHeight="1" x14ac:dyDescent="0.25">
      <c r="A329" s="2" t="s">
        <v>0</v>
      </c>
      <c r="B329" t="s">
        <v>1</v>
      </c>
      <c r="C329" s="3">
        <v>46276</v>
      </c>
      <c r="D329" t="s">
        <v>2</v>
      </c>
      <c r="E329" t="s">
        <v>0</v>
      </c>
      <c r="F329" s="5">
        <v>122691</v>
      </c>
      <c r="G329" s="5" t="str">
        <f>VLOOKUP(F329,'[1]46974159BCSET2026'!$F:$AE,26,0)</f>
        <v>Sim</v>
      </c>
      <c r="H329" t="s">
        <v>3</v>
      </c>
      <c r="I329" s="3">
        <v>46276</v>
      </c>
      <c r="J329" t="s">
        <v>4</v>
      </c>
      <c r="K329" t="s">
        <v>417</v>
      </c>
      <c r="L329" t="s">
        <v>418</v>
      </c>
      <c r="M329" s="8">
        <v>-539.09</v>
      </c>
      <c r="N329" t="s">
        <v>0</v>
      </c>
      <c r="O329" t="s">
        <v>7</v>
      </c>
      <c r="P329" t="s">
        <v>8</v>
      </c>
    </row>
    <row r="330" spans="1:16" ht="13.95" customHeight="1" x14ac:dyDescent="0.25">
      <c r="A330" s="2" t="s">
        <v>0</v>
      </c>
      <c r="B330" t="s">
        <v>1</v>
      </c>
      <c r="C330" s="3">
        <v>46276</v>
      </c>
      <c r="D330" t="s">
        <v>2</v>
      </c>
      <c r="E330" t="s">
        <v>0</v>
      </c>
      <c r="F330" s="5">
        <v>122627</v>
      </c>
      <c r="G330" s="5" t="str">
        <f>VLOOKUP(F330,'[1]46974159BCSET2026'!$F:$AE,26,0)</f>
        <v>Sim</v>
      </c>
      <c r="H330" t="s">
        <v>3</v>
      </c>
      <c r="I330" s="3">
        <v>46276</v>
      </c>
      <c r="J330" t="s">
        <v>4</v>
      </c>
      <c r="K330" t="s">
        <v>419</v>
      </c>
      <c r="L330" t="s">
        <v>420</v>
      </c>
      <c r="M330" s="8">
        <v>-538.53</v>
      </c>
      <c r="N330" t="s">
        <v>0</v>
      </c>
      <c r="O330" t="s">
        <v>7</v>
      </c>
      <c r="P330" t="s">
        <v>8</v>
      </c>
    </row>
    <row r="331" spans="1:16" ht="13.95" customHeight="1" x14ac:dyDescent="0.25">
      <c r="A331" s="2" t="s">
        <v>0</v>
      </c>
      <c r="B331" t="s">
        <v>1</v>
      </c>
      <c r="C331" s="3">
        <v>46276</v>
      </c>
      <c r="D331" t="s">
        <v>2</v>
      </c>
      <c r="E331" t="s">
        <v>0</v>
      </c>
      <c r="F331" s="5">
        <v>122748</v>
      </c>
      <c r="G331" s="5" t="str">
        <f>VLOOKUP(F331,'[1]46974159BCSET2026'!$F:$AE,26,0)</f>
        <v>Sim</v>
      </c>
      <c r="H331" t="s">
        <v>3</v>
      </c>
      <c r="I331" s="3">
        <v>46276</v>
      </c>
      <c r="J331" t="s">
        <v>4</v>
      </c>
      <c r="K331" t="s">
        <v>421</v>
      </c>
      <c r="L331" t="s">
        <v>422</v>
      </c>
      <c r="M331" s="8">
        <v>-535.17999999999995</v>
      </c>
      <c r="N331" t="s">
        <v>0</v>
      </c>
      <c r="O331" t="s">
        <v>7</v>
      </c>
      <c r="P331" t="s">
        <v>8</v>
      </c>
    </row>
    <row r="332" spans="1:16" ht="13.95" customHeight="1" x14ac:dyDescent="0.25">
      <c r="A332" s="2" t="s">
        <v>0</v>
      </c>
      <c r="B332" t="s">
        <v>1</v>
      </c>
      <c r="C332" s="3">
        <v>46276</v>
      </c>
      <c r="D332" t="s">
        <v>2</v>
      </c>
      <c r="E332" t="s">
        <v>0</v>
      </c>
      <c r="F332" s="5">
        <v>122276</v>
      </c>
      <c r="G332" s="5" t="str">
        <f>VLOOKUP(F332,'[1]46974159BCSET2026'!$F:$AE,26,0)</f>
        <v>Sim</v>
      </c>
      <c r="H332" t="s">
        <v>3</v>
      </c>
      <c r="I332" s="3">
        <v>46276</v>
      </c>
      <c r="J332" t="s">
        <v>4</v>
      </c>
      <c r="K332" t="s">
        <v>423</v>
      </c>
      <c r="L332" t="s">
        <v>424</v>
      </c>
      <c r="M332" s="8">
        <v>-534.17999999999995</v>
      </c>
      <c r="N332" t="s">
        <v>0</v>
      </c>
      <c r="O332" t="s">
        <v>7</v>
      </c>
      <c r="P332" t="s">
        <v>8</v>
      </c>
    </row>
    <row r="333" spans="1:16" ht="13.95" customHeight="1" x14ac:dyDescent="0.25">
      <c r="A333" s="2" t="s">
        <v>0</v>
      </c>
      <c r="B333" t="s">
        <v>1</v>
      </c>
      <c r="C333" s="3">
        <v>46276</v>
      </c>
      <c r="D333" t="s">
        <v>2</v>
      </c>
      <c r="E333" t="s">
        <v>0</v>
      </c>
      <c r="F333" s="5">
        <v>122313</v>
      </c>
      <c r="G333" s="5" t="str">
        <f>VLOOKUP(F333,'[1]46974159BCSET2026'!$F:$AE,26,0)</f>
        <v>Sim</v>
      </c>
      <c r="H333" t="s">
        <v>3</v>
      </c>
      <c r="I333" s="3">
        <v>46276</v>
      </c>
      <c r="J333" t="s">
        <v>4</v>
      </c>
      <c r="K333" t="s">
        <v>425</v>
      </c>
      <c r="L333" t="s">
        <v>426</v>
      </c>
      <c r="M333" s="8">
        <v>-530.98</v>
      </c>
      <c r="N333" t="s">
        <v>0</v>
      </c>
      <c r="O333" t="s">
        <v>7</v>
      </c>
      <c r="P333" t="s">
        <v>8</v>
      </c>
    </row>
    <row r="334" spans="1:16" ht="13.95" customHeight="1" x14ac:dyDescent="0.25">
      <c r="A334" s="2" t="s">
        <v>0</v>
      </c>
      <c r="B334" t="s">
        <v>1</v>
      </c>
      <c r="C334" s="3">
        <v>46276</v>
      </c>
      <c r="D334" t="s">
        <v>2</v>
      </c>
      <c r="E334" t="s">
        <v>0</v>
      </c>
      <c r="F334" s="5">
        <v>122554</v>
      </c>
      <c r="G334" s="5" t="str">
        <f>VLOOKUP(F334,'[1]46974159BCSET2026'!$F:$AE,26,0)</f>
        <v>Sim</v>
      </c>
      <c r="H334" t="s">
        <v>3</v>
      </c>
      <c r="I334" s="3">
        <v>46276</v>
      </c>
      <c r="J334" t="s">
        <v>4</v>
      </c>
      <c r="K334" t="s">
        <v>427</v>
      </c>
      <c r="L334" t="s">
        <v>428</v>
      </c>
      <c r="M334" s="8">
        <v>-528.97</v>
      </c>
      <c r="N334" t="s">
        <v>0</v>
      </c>
      <c r="O334" t="s">
        <v>7</v>
      </c>
      <c r="P334" t="s">
        <v>8</v>
      </c>
    </row>
    <row r="335" spans="1:16" ht="13.95" customHeight="1" x14ac:dyDescent="0.25">
      <c r="A335" s="2" t="s">
        <v>0</v>
      </c>
      <c r="B335" t="s">
        <v>1</v>
      </c>
      <c r="C335" s="3">
        <v>46276</v>
      </c>
      <c r="D335" t="s">
        <v>2</v>
      </c>
      <c r="E335" t="s">
        <v>0</v>
      </c>
      <c r="F335" s="5">
        <v>122734</v>
      </c>
      <c r="G335" s="5" t="str">
        <f>VLOOKUP(F335,'[1]46974159BCSET2026'!$F:$AE,26,0)</f>
        <v>Sim</v>
      </c>
      <c r="H335" t="s">
        <v>3</v>
      </c>
      <c r="I335" s="3">
        <v>46276</v>
      </c>
      <c r="J335" t="s">
        <v>4</v>
      </c>
      <c r="K335" t="s">
        <v>429</v>
      </c>
      <c r="L335" t="s">
        <v>430</v>
      </c>
      <c r="M335" s="8">
        <v>-528.97</v>
      </c>
      <c r="N335" t="s">
        <v>0</v>
      </c>
      <c r="O335" t="s">
        <v>7</v>
      </c>
      <c r="P335" t="s">
        <v>8</v>
      </c>
    </row>
    <row r="336" spans="1:16" ht="13.95" customHeight="1" x14ac:dyDescent="0.25">
      <c r="A336" s="2" t="s">
        <v>0</v>
      </c>
      <c r="B336" t="s">
        <v>1</v>
      </c>
      <c r="C336" s="3">
        <v>46276</v>
      </c>
      <c r="D336" t="s">
        <v>2</v>
      </c>
      <c r="E336" t="s">
        <v>0</v>
      </c>
      <c r="F336" s="5">
        <v>122315</v>
      </c>
      <c r="G336" s="5" t="str">
        <f>VLOOKUP(F336,'[1]46974159BCSET2026'!$F:$AE,26,0)</f>
        <v>Sim</v>
      </c>
      <c r="H336" t="s">
        <v>3</v>
      </c>
      <c r="I336" s="3">
        <v>46276</v>
      </c>
      <c r="J336" t="s">
        <v>4</v>
      </c>
      <c r="K336" t="s">
        <v>431</v>
      </c>
      <c r="L336" t="s">
        <v>432</v>
      </c>
      <c r="M336" s="8">
        <v>-528.97</v>
      </c>
      <c r="N336" t="s">
        <v>0</v>
      </c>
      <c r="O336" t="s">
        <v>7</v>
      </c>
      <c r="P336" t="s">
        <v>8</v>
      </c>
    </row>
    <row r="337" spans="1:16" ht="13.95" customHeight="1" x14ac:dyDescent="0.25">
      <c r="A337" s="2" t="s">
        <v>0</v>
      </c>
      <c r="B337" t="s">
        <v>1</v>
      </c>
      <c r="C337" s="3">
        <v>46276</v>
      </c>
      <c r="D337" t="s">
        <v>2</v>
      </c>
      <c r="E337" t="s">
        <v>0</v>
      </c>
      <c r="F337" s="5">
        <v>122555</v>
      </c>
      <c r="G337" s="5" t="str">
        <f>VLOOKUP(F337,'[1]46974159BCSET2026'!$F:$AE,26,0)</f>
        <v>Sim</v>
      </c>
      <c r="H337" t="s">
        <v>3</v>
      </c>
      <c r="I337" s="3">
        <v>46276</v>
      </c>
      <c r="J337" t="s">
        <v>4</v>
      </c>
      <c r="K337" t="s">
        <v>433</v>
      </c>
      <c r="L337" t="s">
        <v>434</v>
      </c>
      <c r="M337" s="8">
        <v>-528.97</v>
      </c>
      <c r="N337" t="s">
        <v>0</v>
      </c>
      <c r="O337" t="s">
        <v>7</v>
      </c>
      <c r="P337" t="s">
        <v>8</v>
      </c>
    </row>
    <row r="338" spans="1:16" ht="13.95" customHeight="1" x14ac:dyDescent="0.25">
      <c r="A338" s="2" t="s">
        <v>0</v>
      </c>
      <c r="B338" t="s">
        <v>1</v>
      </c>
      <c r="C338" s="3">
        <v>46276</v>
      </c>
      <c r="D338" t="s">
        <v>2</v>
      </c>
      <c r="E338" t="s">
        <v>0</v>
      </c>
      <c r="F338" s="5">
        <v>122740</v>
      </c>
      <c r="G338" s="5" t="str">
        <f>VLOOKUP(F338,'[1]46974159BCSET2026'!$F:$AE,26,0)</f>
        <v>Sim</v>
      </c>
      <c r="H338" t="s">
        <v>3</v>
      </c>
      <c r="I338" s="3">
        <v>46276</v>
      </c>
      <c r="J338" t="s">
        <v>4</v>
      </c>
      <c r="K338" t="s">
        <v>435</v>
      </c>
      <c r="L338" t="s">
        <v>436</v>
      </c>
      <c r="M338" s="8">
        <v>-528.74</v>
      </c>
      <c r="N338" t="s">
        <v>0</v>
      </c>
      <c r="O338" t="s">
        <v>7</v>
      </c>
      <c r="P338" t="s">
        <v>8</v>
      </c>
    </row>
    <row r="339" spans="1:16" ht="13.95" customHeight="1" x14ac:dyDescent="0.25">
      <c r="A339" s="2" t="s">
        <v>0</v>
      </c>
      <c r="B339" t="s">
        <v>1</v>
      </c>
      <c r="C339" s="3">
        <v>46276</v>
      </c>
      <c r="D339" t="s">
        <v>2</v>
      </c>
      <c r="E339" t="s">
        <v>0</v>
      </c>
      <c r="F339" s="5">
        <v>122562</v>
      </c>
      <c r="G339" s="5" t="str">
        <f>VLOOKUP(F339,'[1]46974159BCSET2026'!$F:$AE,26,0)</f>
        <v>Sim</v>
      </c>
      <c r="H339" t="s">
        <v>3</v>
      </c>
      <c r="I339" s="3">
        <v>46276</v>
      </c>
      <c r="J339" t="s">
        <v>4</v>
      </c>
      <c r="K339" t="s">
        <v>437</v>
      </c>
      <c r="L339" t="s">
        <v>438</v>
      </c>
      <c r="M339" s="8">
        <v>-528.74</v>
      </c>
      <c r="N339" t="s">
        <v>0</v>
      </c>
      <c r="O339" t="s">
        <v>7</v>
      </c>
      <c r="P339" t="s">
        <v>8</v>
      </c>
    </row>
    <row r="340" spans="1:16" ht="13.95" customHeight="1" x14ac:dyDescent="0.25">
      <c r="A340" s="2" t="s">
        <v>0</v>
      </c>
      <c r="B340" t="s">
        <v>1</v>
      </c>
      <c r="C340" s="3">
        <v>46276</v>
      </c>
      <c r="D340" t="s">
        <v>2</v>
      </c>
      <c r="E340" t="s">
        <v>0</v>
      </c>
      <c r="F340" s="5">
        <v>122742</v>
      </c>
      <c r="G340" s="5" t="str">
        <f>VLOOKUP(F340,'[1]46974159BCSET2026'!$F:$AE,26,0)</f>
        <v>Sim</v>
      </c>
      <c r="H340" t="s">
        <v>3</v>
      </c>
      <c r="I340" s="3">
        <v>46276</v>
      </c>
      <c r="J340" t="s">
        <v>4</v>
      </c>
      <c r="K340" t="s">
        <v>439</v>
      </c>
      <c r="L340" t="s">
        <v>440</v>
      </c>
      <c r="M340" s="8">
        <v>-528.74</v>
      </c>
      <c r="N340" t="s">
        <v>0</v>
      </c>
      <c r="O340" t="s">
        <v>7</v>
      </c>
      <c r="P340" t="s">
        <v>8</v>
      </c>
    </row>
    <row r="341" spans="1:16" ht="13.95" customHeight="1" x14ac:dyDescent="0.25">
      <c r="A341" s="2" t="s">
        <v>0</v>
      </c>
      <c r="B341" t="s">
        <v>1</v>
      </c>
      <c r="C341" s="3">
        <v>46276</v>
      </c>
      <c r="D341" t="s">
        <v>2</v>
      </c>
      <c r="E341" t="s">
        <v>0</v>
      </c>
      <c r="F341" s="5">
        <v>122202</v>
      </c>
      <c r="G341" s="5" t="str">
        <f>VLOOKUP(F341,'[1]46974159BCSET2026'!$F:$AE,26,0)</f>
        <v>Sim</v>
      </c>
      <c r="H341" t="s">
        <v>3</v>
      </c>
      <c r="I341" s="3">
        <v>46276</v>
      </c>
      <c r="J341" t="s">
        <v>4</v>
      </c>
      <c r="K341" t="s">
        <v>165</v>
      </c>
      <c r="L341" t="s">
        <v>166</v>
      </c>
      <c r="M341" s="8">
        <v>-528.66999999999996</v>
      </c>
      <c r="N341" t="s">
        <v>0</v>
      </c>
      <c r="O341" t="s">
        <v>7</v>
      </c>
      <c r="P341" t="s">
        <v>8</v>
      </c>
    </row>
    <row r="342" spans="1:16" ht="13.95" customHeight="1" x14ac:dyDescent="0.25">
      <c r="A342" s="2" t="s">
        <v>0</v>
      </c>
      <c r="B342" t="s">
        <v>1</v>
      </c>
      <c r="C342" s="3">
        <v>46276</v>
      </c>
      <c r="D342" t="s">
        <v>2</v>
      </c>
      <c r="E342" t="s">
        <v>0</v>
      </c>
      <c r="F342" s="5">
        <v>122541</v>
      </c>
      <c r="G342" s="5" t="str">
        <f>VLOOKUP(F342,'[1]46974159BCSET2026'!$F:$AE,26,0)</f>
        <v>Sim</v>
      </c>
      <c r="H342" t="s">
        <v>3</v>
      </c>
      <c r="I342" s="3">
        <v>46276</v>
      </c>
      <c r="J342" t="s">
        <v>4</v>
      </c>
      <c r="K342" t="s">
        <v>441</v>
      </c>
      <c r="L342" t="s">
        <v>442</v>
      </c>
      <c r="M342" s="8">
        <v>-521.65</v>
      </c>
      <c r="N342" t="s">
        <v>0</v>
      </c>
      <c r="O342" t="s">
        <v>7</v>
      </c>
      <c r="P342" t="s">
        <v>8</v>
      </c>
    </row>
    <row r="343" spans="1:16" ht="13.95" customHeight="1" x14ac:dyDescent="0.25">
      <c r="A343" s="2" t="s">
        <v>0</v>
      </c>
      <c r="B343" t="s">
        <v>1</v>
      </c>
      <c r="C343" s="3">
        <v>46276</v>
      </c>
      <c r="D343" t="s">
        <v>2</v>
      </c>
      <c r="E343" t="s">
        <v>0</v>
      </c>
      <c r="F343" s="5">
        <v>122727</v>
      </c>
      <c r="G343" s="5" t="str">
        <f>VLOOKUP(F343,'[1]46974159BCSET2026'!$F:$AE,26,0)</f>
        <v>Sim</v>
      </c>
      <c r="H343" t="s">
        <v>3</v>
      </c>
      <c r="I343" s="3">
        <v>46276</v>
      </c>
      <c r="J343" t="s">
        <v>4</v>
      </c>
      <c r="K343" t="s">
        <v>443</v>
      </c>
      <c r="L343" t="s">
        <v>444</v>
      </c>
      <c r="M343" s="8">
        <v>-521.65</v>
      </c>
      <c r="N343" t="s">
        <v>0</v>
      </c>
      <c r="O343" t="s">
        <v>7</v>
      </c>
      <c r="P343" t="s">
        <v>8</v>
      </c>
    </row>
    <row r="344" spans="1:16" ht="13.95" customHeight="1" x14ac:dyDescent="0.25">
      <c r="A344" s="2" t="s">
        <v>0</v>
      </c>
      <c r="B344" t="s">
        <v>1</v>
      </c>
      <c r="C344" s="3">
        <v>46276</v>
      </c>
      <c r="D344" t="s">
        <v>2</v>
      </c>
      <c r="E344" t="s">
        <v>0</v>
      </c>
      <c r="F344" s="5">
        <v>122317</v>
      </c>
      <c r="G344" s="5" t="str">
        <f>VLOOKUP(F344,'[1]46974159BCSET2026'!$F:$AE,26,0)</f>
        <v>Sim</v>
      </c>
      <c r="H344" t="s">
        <v>3</v>
      </c>
      <c r="I344" s="3">
        <v>46276</v>
      </c>
      <c r="J344" t="s">
        <v>4</v>
      </c>
      <c r="K344" t="s">
        <v>445</v>
      </c>
      <c r="L344" t="s">
        <v>446</v>
      </c>
      <c r="M344" s="8">
        <v>-518.51</v>
      </c>
      <c r="N344" t="s">
        <v>0</v>
      </c>
      <c r="O344" t="s">
        <v>7</v>
      </c>
      <c r="P344" t="s">
        <v>8</v>
      </c>
    </row>
    <row r="345" spans="1:16" ht="13.95" customHeight="1" x14ac:dyDescent="0.25">
      <c r="A345" s="2" t="s">
        <v>0</v>
      </c>
      <c r="B345" t="s">
        <v>1</v>
      </c>
      <c r="C345" s="3">
        <v>46276</v>
      </c>
      <c r="D345" t="s">
        <v>2</v>
      </c>
      <c r="E345" t="s">
        <v>0</v>
      </c>
      <c r="F345" s="5">
        <v>122556</v>
      </c>
      <c r="G345" s="5" t="str">
        <f>VLOOKUP(F345,'[1]46974159BCSET2026'!$F:$AE,26,0)</f>
        <v>Sim</v>
      </c>
      <c r="H345" t="s">
        <v>3</v>
      </c>
      <c r="I345" s="3">
        <v>46276</v>
      </c>
      <c r="J345" t="s">
        <v>4</v>
      </c>
      <c r="K345" t="s">
        <v>447</v>
      </c>
      <c r="L345" t="s">
        <v>448</v>
      </c>
      <c r="M345" s="8">
        <v>-518.51</v>
      </c>
      <c r="N345" t="s">
        <v>0</v>
      </c>
      <c r="O345" t="s">
        <v>7</v>
      </c>
      <c r="P345" t="s">
        <v>8</v>
      </c>
    </row>
    <row r="346" spans="1:16" ht="13.95" customHeight="1" x14ac:dyDescent="0.25">
      <c r="A346" s="2" t="s">
        <v>0</v>
      </c>
      <c r="B346" t="s">
        <v>1</v>
      </c>
      <c r="C346" s="3">
        <v>46276</v>
      </c>
      <c r="D346" t="s">
        <v>2</v>
      </c>
      <c r="E346" t="s">
        <v>0</v>
      </c>
      <c r="F346" s="5">
        <v>122589</v>
      </c>
      <c r="G346" s="5" t="str">
        <f>VLOOKUP(F346,'[1]46974159BCSET2026'!$F:$AE,26,0)</f>
        <v>Sim</v>
      </c>
      <c r="H346" t="s">
        <v>3</v>
      </c>
      <c r="I346" s="3">
        <v>46276</v>
      </c>
      <c r="J346" t="s">
        <v>4</v>
      </c>
      <c r="K346" t="s">
        <v>449</v>
      </c>
      <c r="L346" t="s">
        <v>450</v>
      </c>
      <c r="M346" s="8">
        <v>-515.96</v>
      </c>
      <c r="N346" t="s">
        <v>0</v>
      </c>
      <c r="O346" t="s">
        <v>7</v>
      </c>
      <c r="P346" t="s">
        <v>8</v>
      </c>
    </row>
    <row r="347" spans="1:16" ht="13.95" customHeight="1" x14ac:dyDescent="0.25">
      <c r="A347" s="2" t="s">
        <v>0</v>
      </c>
      <c r="B347" t="s">
        <v>1</v>
      </c>
      <c r="C347" s="3">
        <v>46276</v>
      </c>
      <c r="D347" t="s">
        <v>2</v>
      </c>
      <c r="E347" t="s">
        <v>0</v>
      </c>
      <c r="F347" s="5">
        <v>122339</v>
      </c>
      <c r="G347" s="5" t="str">
        <f>VLOOKUP(F347,'[1]46974159BCSET2026'!$F:$AE,26,0)</f>
        <v>Sim</v>
      </c>
      <c r="H347" t="s">
        <v>3</v>
      </c>
      <c r="I347" s="3">
        <v>46276</v>
      </c>
      <c r="J347" t="s">
        <v>4</v>
      </c>
      <c r="K347" t="s">
        <v>451</v>
      </c>
      <c r="L347" t="s">
        <v>452</v>
      </c>
      <c r="M347" s="8">
        <v>-515.64</v>
      </c>
      <c r="N347" t="s">
        <v>0</v>
      </c>
      <c r="O347" t="s">
        <v>7</v>
      </c>
      <c r="P347" t="s">
        <v>8</v>
      </c>
    </row>
    <row r="348" spans="1:16" ht="13.95" customHeight="1" x14ac:dyDescent="0.25">
      <c r="A348" s="2" t="s">
        <v>0</v>
      </c>
      <c r="B348" t="s">
        <v>1</v>
      </c>
      <c r="C348" s="3">
        <v>46276</v>
      </c>
      <c r="D348" t="s">
        <v>2</v>
      </c>
      <c r="E348" t="s">
        <v>0</v>
      </c>
      <c r="F348" s="5">
        <v>122197</v>
      </c>
      <c r="G348" s="5" t="str">
        <f>VLOOKUP(F348,'[1]46974159BCSET2026'!$F:$AE,26,0)</f>
        <v>Sim</v>
      </c>
      <c r="H348" t="s">
        <v>3</v>
      </c>
      <c r="I348" s="3">
        <v>46276</v>
      </c>
      <c r="J348" t="s">
        <v>4</v>
      </c>
      <c r="K348" t="s">
        <v>187</v>
      </c>
      <c r="L348" t="s">
        <v>188</v>
      </c>
      <c r="M348" s="8">
        <v>-515.20000000000005</v>
      </c>
      <c r="N348" t="s">
        <v>0</v>
      </c>
      <c r="O348" t="s">
        <v>7</v>
      </c>
      <c r="P348" t="s">
        <v>8</v>
      </c>
    </row>
    <row r="349" spans="1:16" ht="13.95" customHeight="1" x14ac:dyDescent="0.25">
      <c r="A349" s="2" t="s">
        <v>0</v>
      </c>
      <c r="B349" t="s">
        <v>1</v>
      </c>
      <c r="C349" s="3">
        <v>46276</v>
      </c>
      <c r="D349" t="s">
        <v>2</v>
      </c>
      <c r="E349" t="s">
        <v>0</v>
      </c>
      <c r="F349" s="5">
        <v>122252</v>
      </c>
      <c r="G349" s="5" t="str">
        <f>VLOOKUP(F349,'[1]46974159BCSET2026'!$F:$AE,26,0)</f>
        <v>Sim</v>
      </c>
      <c r="H349" t="s">
        <v>3</v>
      </c>
      <c r="I349" s="3">
        <v>46276</v>
      </c>
      <c r="J349" t="s">
        <v>4</v>
      </c>
      <c r="K349" t="s">
        <v>453</v>
      </c>
      <c r="L349" t="s">
        <v>454</v>
      </c>
      <c r="M349" s="8">
        <v>-512</v>
      </c>
      <c r="N349" t="s">
        <v>0</v>
      </c>
      <c r="O349" t="s">
        <v>7</v>
      </c>
      <c r="P349" t="s">
        <v>8</v>
      </c>
    </row>
    <row r="350" spans="1:16" ht="13.95" customHeight="1" x14ac:dyDescent="0.25">
      <c r="A350" s="2" t="s">
        <v>0</v>
      </c>
      <c r="B350" t="s">
        <v>1</v>
      </c>
      <c r="C350" s="3">
        <v>46276</v>
      </c>
      <c r="D350" t="s">
        <v>2</v>
      </c>
      <c r="E350" t="s">
        <v>0</v>
      </c>
      <c r="F350" s="5">
        <v>122561</v>
      </c>
      <c r="G350" s="5" t="str">
        <f>VLOOKUP(F350,'[1]46974159BCSET2026'!$F:$AE,26,0)</f>
        <v>Sim</v>
      </c>
      <c r="H350" t="s">
        <v>3</v>
      </c>
      <c r="I350" s="3">
        <v>46276</v>
      </c>
      <c r="J350" t="s">
        <v>4</v>
      </c>
      <c r="K350" t="s">
        <v>455</v>
      </c>
      <c r="L350" t="s">
        <v>456</v>
      </c>
      <c r="M350" s="8">
        <v>-510.07</v>
      </c>
      <c r="N350" t="s">
        <v>0</v>
      </c>
      <c r="O350" t="s">
        <v>7</v>
      </c>
      <c r="P350" t="s">
        <v>8</v>
      </c>
    </row>
    <row r="351" spans="1:16" ht="13.95" customHeight="1" x14ac:dyDescent="0.25">
      <c r="A351" s="2" t="s">
        <v>0</v>
      </c>
      <c r="B351" t="s">
        <v>1</v>
      </c>
      <c r="C351" s="3">
        <v>46276</v>
      </c>
      <c r="D351" t="s">
        <v>2</v>
      </c>
      <c r="E351" t="s">
        <v>0</v>
      </c>
      <c r="F351" s="5">
        <v>122741</v>
      </c>
      <c r="G351" s="5" t="str">
        <f>VLOOKUP(F351,'[1]46974159BCSET2026'!$F:$AE,26,0)</f>
        <v>Sim</v>
      </c>
      <c r="H351" t="s">
        <v>3</v>
      </c>
      <c r="I351" s="3">
        <v>46276</v>
      </c>
      <c r="J351" t="s">
        <v>4</v>
      </c>
      <c r="K351" t="s">
        <v>457</v>
      </c>
      <c r="L351" t="s">
        <v>458</v>
      </c>
      <c r="M351" s="8">
        <v>-510.07</v>
      </c>
      <c r="N351" t="s">
        <v>0</v>
      </c>
      <c r="O351" t="s">
        <v>7</v>
      </c>
      <c r="P351" t="s">
        <v>8</v>
      </c>
    </row>
    <row r="352" spans="1:16" ht="13.95" customHeight="1" x14ac:dyDescent="0.25">
      <c r="A352" s="2" t="s">
        <v>0</v>
      </c>
      <c r="B352" t="s">
        <v>1</v>
      </c>
      <c r="C352" s="3">
        <v>46276</v>
      </c>
      <c r="D352" t="s">
        <v>2</v>
      </c>
      <c r="E352" t="s">
        <v>0</v>
      </c>
      <c r="F352" s="5">
        <v>122764</v>
      </c>
      <c r="G352" s="5" t="str">
        <f>VLOOKUP(F352,'[1]46974159BCSET2026'!$F:$AE,26,0)</f>
        <v>Sim</v>
      </c>
      <c r="H352" t="s">
        <v>3</v>
      </c>
      <c r="I352" s="3">
        <v>46276</v>
      </c>
      <c r="J352" t="s">
        <v>4</v>
      </c>
      <c r="K352" t="s">
        <v>459</v>
      </c>
      <c r="L352" t="s">
        <v>460</v>
      </c>
      <c r="M352" s="8">
        <v>-507.93</v>
      </c>
      <c r="N352" t="s">
        <v>0</v>
      </c>
      <c r="O352" t="s">
        <v>7</v>
      </c>
      <c r="P352" t="s">
        <v>8</v>
      </c>
    </row>
    <row r="353" spans="1:16" ht="13.95" customHeight="1" x14ac:dyDescent="0.25">
      <c r="A353" s="2" t="s">
        <v>0</v>
      </c>
      <c r="B353" t="s">
        <v>1</v>
      </c>
      <c r="C353" s="3">
        <v>46276</v>
      </c>
      <c r="D353" t="s">
        <v>2</v>
      </c>
      <c r="E353" t="s">
        <v>0</v>
      </c>
      <c r="F353" s="5">
        <v>122335</v>
      </c>
      <c r="G353" s="5" t="str">
        <f>VLOOKUP(F353,'[1]46974159BCSET2026'!$F:$AE,26,0)</f>
        <v>Sim</v>
      </c>
      <c r="H353" t="s">
        <v>3</v>
      </c>
      <c r="I353" s="3">
        <v>46276</v>
      </c>
      <c r="J353" t="s">
        <v>4</v>
      </c>
      <c r="K353" t="s">
        <v>461</v>
      </c>
      <c r="L353" t="s">
        <v>462</v>
      </c>
      <c r="M353" s="8">
        <v>-507.36</v>
      </c>
      <c r="N353" t="s">
        <v>0</v>
      </c>
      <c r="O353" t="s">
        <v>7</v>
      </c>
      <c r="P353" t="s">
        <v>8</v>
      </c>
    </row>
    <row r="354" spans="1:16" ht="13.95" customHeight="1" x14ac:dyDescent="0.25">
      <c r="A354" s="2" t="s">
        <v>0</v>
      </c>
      <c r="B354" t="s">
        <v>1</v>
      </c>
      <c r="C354" s="3">
        <v>46276</v>
      </c>
      <c r="D354" t="s">
        <v>2</v>
      </c>
      <c r="E354" t="s">
        <v>0</v>
      </c>
      <c r="F354" s="5">
        <v>122257</v>
      </c>
      <c r="G354" s="5" t="str">
        <f>VLOOKUP(F354,'[1]46974159BCSET2026'!$F:$AE,26,0)</f>
        <v>Sim</v>
      </c>
      <c r="H354" t="s">
        <v>3</v>
      </c>
      <c r="I354" s="3">
        <v>46276</v>
      </c>
      <c r="J354" t="s">
        <v>4</v>
      </c>
      <c r="K354" t="s">
        <v>191</v>
      </c>
      <c r="L354" t="s">
        <v>192</v>
      </c>
      <c r="M354" s="8">
        <v>-505.27</v>
      </c>
      <c r="N354" t="s">
        <v>0</v>
      </c>
      <c r="O354" t="s">
        <v>7</v>
      </c>
      <c r="P354" t="s">
        <v>8</v>
      </c>
    </row>
    <row r="355" spans="1:16" ht="13.95" customHeight="1" x14ac:dyDescent="0.25">
      <c r="A355" s="2" t="s">
        <v>0</v>
      </c>
      <c r="B355" t="s">
        <v>1</v>
      </c>
      <c r="C355" s="3">
        <v>46276</v>
      </c>
      <c r="D355" t="s">
        <v>2</v>
      </c>
      <c r="E355" t="s">
        <v>0</v>
      </c>
      <c r="F355" s="5">
        <v>122211</v>
      </c>
      <c r="G355" s="5" t="str">
        <f>VLOOKUP(F355,'[1]46974159BCSET2026'!$F:$AE,26,0)</f>
        <v>Sim</v>
      </c>
      <c r="H355" t="s">
        <v>3</v>
      </c>
      <c r="I355" s="3">
        <v>46276</v>
      </c>
      <c r="J355" t="s">
        <v>4</v>
      </c>
      <c r="K355" t="s">
        <v>463</v>
      </c>
      <c r="L355" t="s">
        <v>464</v>
      </c>
      <c r="M355" s="8">
        <v>-505.1</v>
      </c>
      <c r="N355" t="s">
        <v>0</v>
      </c>
      <c r="O355" t="s">
        <v>7</v>
      </c>
      <c r="P355" t="s">
        <v>8</v>
      </c>
    </row>
    <row r="356" spans="1:16" ht="13.95" customHeight="1" x14ac:dyDescent="0.25">
      <c r="A356" s="2" t="s">
        <v>0</v>
      </c>
      <c r="B356" t="s">
        <v>1</v>
      </c>
      <c r="C356" s="3">
        <v>46276</v>
      </c>
      <c r="D356" t="s">
        <v>2</v>
      </c>
      <c r="E356" t="s">
        <v>0</v>
      </c>
      <c r="F356" s="5">
        <v>122651</v>
      </c>
      <c r="G356" s="5" t="str">
        <f>VLOOKUP(F356,'[1]46974159BCSET2026'!$F:$AE,26,0)</f>
        <v>Sim</v>
      </c>
      <c r="H356" t="s">
        <v>3</v>
      </c>
      <c r="I356" s="3">
        <v>46276</v>
      </c>
      <c r="J356" t="s">
        <v>4</v>
      </c>
      <c r="K356" t="s">
        <v>465</v>
      </c>
      <c r="L356" t="s">
        <v>466</v>
      </c>
      <c r="M356" s="8">
        <v>-505.1</v>
      </c>
      <c r="N356" t="s">
        <v>0</v>
      </c>
      <c r="O356" t="s">
        <v>7</v>
      </c>
      <c r="P356" t="s">
        <v>8</v>
      </c>
    </row>
    <row r="357" spans="1:16" ht="13.95" customHeight="1" x14ac:dyDescent="0.25">
      <c r="A357" s="2" t="s">
        <v>0</v>
      </c>
      <c r="B357" t="s">
        <v>1</v>
      </c>
      <c r="C357" s="3">
        <v>46276</v>
      </c>
      <c r="D357" t="s">
        <v>2</v>
      </c>
      <c r="E357" t="s">
        <v>0</v>
      </c>
      <c r="F357" s="5">
        <v>122679</v>
      </c>
      <c r="G357" s="5" t="str">
        <f>VLOOKUP(F357,'[1]46974159BCSET2026'!$F:$AE,26,0)</f>
        <v>Sim</v>
      </c>
      <c r="H357" t="s">
        <v>3</v>
      </c>
      <c r="I357" s="3">
        <v>46276</v>
      </c>
      <c r="J357" t="s">
        <v>4</v>
      </c>
      <c r="K357" t="s">
        <v>467</v>
      </c>
      <c r="L357" t="s">
        <v>468</v>
      </c>
      <c r="M357" s="8">
        <v>-505.1</v>
      </c>
      <c r="N357" t="s">
        <v>0</v>
      </c>
      <c r="O357" t="s">
        <v>7</v>
      </c>
      <c r="P357" t="s">
        <v>8</v>
      </c>
    </row>
    <row r="358" spans="1:16" ht="13.95" customHeight="1" x14ac:dyDescent="0.25">
      <c r="A358" s="2" t="s">
        <v>0</v>
      </c>
      <c r="B358" t="s">
        <v>1</v>
      </c>
      <c r="C358" s="3">
        <v>46276</v>
      </c>
      <c r="D358" t="s">
        <v>2</v>
      </c>
      <c r="E358" t="s">
        <v>0</v>
      </c>
      <c r="F358" s="5">
        <v>122752</v>
      </c>
      <c r="G358" s="5" t="str">
        <f>VLOOKUP(F358,'[1]46974159BCSET2026'!$F:$AE,26,0)</f>
        <v>Sim</v>
      </c>
      <c r="H358" t="s">
        <v>3</v>
      </c>
      <c r="I358" s="3">
        <v>46276</v>
      </c>
      <c r="J358" t="s">
        <v>4</v>
      </c>
      <c r="K358" t="s">
        <v>469</v>
      </c>
      <c r="L358" t="s">
        <v>470</v>
      </c>
      <c r="M358" s="8">
        <v>-505.1</v>
      </c>
      <c r="N358" t="s">
        <v>0</v>
      </c>
      <c r="O358" t="s">
        <v>7</v>
      </c>
      <c r="P358" t="s">
        <v>8</v>
      </c>
    </row>
    <row r="359" spans="1:16" ht="13.95" customHeight="1" x14ac:dyDescent="0.25">
      <c r="A359" s="2" t="s">
        <v>0</v>
      </c>
      <c r="B359" t="s">
        <v>1</v>
      </c>
      <c r="C359" s="3">
        <v>46276</v>
      </c>
      <c r="D359" t="s">
        <v>2</v>
      </c>
      <c r="E359" t="s">
        <v>0</v>
      </c>
      <c r="F359" s="5">
        <v>122628</v>
      </c>
      <c r="G359" s="5" t="str">
        <f>VLOOKUP(F359,'[1]46974159BCSET2026'!$F:$AE,26,0)</f>
        <v>Sim</v>
      </c>
      <c r="H359" t="s">
        <v>3</v>
      </c>
      <c r="I359" s="3">
        <v>46276</v>
      </c>
      <c r="J359" t="s">
        <v>4</v>
      </c>
      <c r="K359" t="s">
        <v>471</v>
      </c>
      <c r="L359" t="s">
        <v>472</v>
      </c>
      <c r="M359" s="8">
        <v>-502.8</v>
      </c>
      <c r="N359" t="s">
        <v>0</v>
      </c>
      <c r="O359" t="s">
        <v>7</v>
      </c>
      <c r="P359" t="s">
        <v>8</v>
      </c>
    </row>
    <row r="360" spans="1:16" ht="13.95" customHeight="1" x14ac:dyDescent="0.25">
      <c r="A360" s="2" t="s">
        <v>0</v>
      </c>
      <c r="B360" t="s">
        <v>1</v>
      </c>
      <c r="C360" s="3">
        <v>46276</v>
      </c>
      <c r="D360" t="s">
        <v>2</v>
      </c>
      <c r="E360" t="s">
        <v>0</v>
      </c>
      <c r="F360" s="5">
        <v>122332</v>
      </c>
      <c r="G360" s="5" t="str">
        <f>VLOOKUP(F360,'[1]46974159BCSET2026'!$F:$AE,26,0)</f>
        <v>Sim</v>
      </c>
      <c r="H360" t="s">
        <v>3</v>
      </c>
      <c r="I360" s="3">
        <v>46276</v>
      </c>
      <c r="J360" t="s">
        <v>4</v>
      </c>
      <c r="K360" t="s">
        <v>473</v>
      </c>
      <c r="L360" t="s">
        <v>474</v>
      </c>
      <c r="M360" s="8">
        <v>-502.02</v>
      </c>
      <c r="N360" t="s">
        <v>0</v>
      </c>
      <c r="O360" t="s">
        <v>7</v>
      </c>
      <c r="P360" t="s">
        <v>8</v>
      </c>
    </row>
    <row r="361" spans="1:16" ht="13.95" customHeight="1" x14ac:dyDescent="0.25">
      <c r="A361" s="2" t="s">
        <v>0</v>
      </c>
      <c r="B361" t="s">
        <v>1</v>
      </c>
      <c r="C361" s="3">
        <v>46276</v>
      </c>
      <c r="D361" t="s">
        <v>2</v>
      </c>
      <c r="E361" t="s">
        <v>0</v>
      </c>
      <c r="F361" s="5">
        <v>122267</v>
      </c>
      <c r="G361" s="5" t="str">
        <f>VLOOKUP(F361,'[1]46974159BCSET2026'!$F:$AE,26,0)</f>
        <v>Sim</v>
      </c>
      <c r="H361" t="s">
        <v>3</v>
      </c>
      <c r="I361" s="3">
        <v>46276</v>
      </c>
      <c r="J361" t="s">
        <v>4</v>
      </c>
      <c r="K361" t="s">
        <v>475</v>
      </c>
      <c r="L361" t="s">
        <v>476</v>
      </c>
      <c r="M361" s="8">
        <v>-495.92</v>
      </c>
      <c r="N361" t="s">
        <v>0</v>
      </c>
      <c r="O361" t="s">
        <v>7</v>
      </c>
      <c r="P361" t="s">
        <v>8</v>
      </c>
    </row>
    <row r="362" spans="1:16" ht="13.95" customHeight="1" x14ac:dyDescent="0.25">
      <c r="A362" s="2" t="s">
        <v>0</v>
      </c>
      <c r="B362" t="s">
        <v>1</v>
      </c>
      <c r="C362" s="3">
        <v>46276</v>
      </c>
      <c r="D362" t="s">
        <v>2</v>
      </c>
      <c r="E362" t="s">
        <v>0</v>
      </c>
      <c r="F362" s="5">
        <v>122284</v>
      </c>
      <c r="G362" s="5" t="str">
        <f>VLOOKUP(F362,'[1]46974159BCSET2026'!$F:$AE,26,0)</f>
        <v>Sim</v>
      </c>
      <c r="H362" t="s">
        <v>3</v>
      </c>
      <c r="I362" s="3">
        <v>46276</v>
      </c>
      <c r="J362" t="s">
        <v>4</v>
      </c>
      <c r="K362" t="s">
        <v>477</v>
      </c>
      <c r="L362" t="s">
        <v>478</v>
      </c>
      <c r="M362" s="8">
        <v>-491.53</v>
      </c>
      <c r="N362" t="s">
        <v>0</v>
      </c>
      <c r="O362" t="s">
        <v>7</v>
      </c>
      <c r="P362" t="s">
        <v>8</v>
      </c>
    </row>
    <row r="363" spans="1:16" ht="13.95" customHeight="1" x14ac:dyDescent="0.25">
      <c r="A363" s="2" t="s">
        <v>0</v>
      </c>
      <c r="B363" t="s">
        <v>1</v>
      </c>
      <c r="C363" s="3">
        <v>46276</v>
      </c>
      <c r="D363" t="s">
        <v>2</v>
      </c>
      <c r="E363" t="s">
        <v>0</v>
      </c>
      <c r="F363" s="5">
        <v>122327</v>
      </c>
      <c r="G363" s="5" t="str">
        <f>VLOOKUP(F363,'[1]46974159BCSET2026'!$F:$AE,26,0)</f>
        <v>Sim</v>
      </c>
      <c r="H363" t="s">
        <v>3</v>
      </c>
      <c r="I363" s="3">
        <v>46276</v>
      </c>
      <c r="J363" t="s">
        <v>4</v>
      </c>
      <c r="K363" t="s">
        <v>479</v>
      </c>
      <c r="L363" t="s">
        <v>480</v>
      </c>
      <c r="M363" s="8">
        <v>-490.73</v>
      </c>
      <c r="N363" t="s">
        <v>0</v>
      </c>
      <c r="O363" t="s">
        <v>7</v>
      </c>
      <c r="P363" t="s">
        <v>8</v>
      </c>
    </row>
    <row r="364" spans="1:16" ht="13.95" customHeight="1" x14ac:dyDescent="0.25">
      <c r="A364" s="2" t="s">
        <v>0</v>
      </c>
      <c r="B364" t="s">
        <v>1</v>
      </c>
      <c r="C364" s="3">
        <v>46276</v>
      </c>
      <c r="D364" t="s">
        <v>2</v>
      </c>
      <c r="E364" t="s">
        <v>0</v>
      </c>
      <c r="F364" s="5">
        <v>122369</v>
      </c>
      <c r="G364" s="5" t="str">
        <f>VLOOKUP(F364,'[1]46974159BCSET2026'!$F:$AE,26,0)</f>
        <v>Sim</v>
      </c>
      <c r="H364" t="s">
        <v>3</v>
      </c>
      <c r="I364" s="3">
        <v>46276</v>
      </c>
      <c r="J364" t="s">
        <v>4</v>
      </c>
      <c r="K364" t="s">
        <v>481</v>
      </c>
      <c r="L364" t="s">
        <v>482</v>
      </c>
      <c r="M364" s="8">
        <v>-490.73</v>
      </c>
      <c r="N364" t="s">
        <v>0</v>
      </c>
      <c r="O364" t="s">
        <v>7</v>
      </c>
      <c r="P364" t="s">
        <v>8</v>
      </c>
    </row>
    <row r="365" spans="1:16" ht="13.95" customHeight="1" x14ac:dyDescent="0.25">
      <c r="A365" s="2" t="s">
        <v>0</v>
      </c>
      <c r="B365" t="s">
        <v>1</v>
      </c>
      <c r="C365" s="3">
        <v>46276</v>
      </c>
      <c r="D365" t="s">
        <v>2</v>
      </c>
      <c r="E365" t="s">
        <v>0</v>
      </c>
      <c r="F365" s="5">
        <v>122323</v>
      </c>
      <c r="G365" s="5" t="str">
        <f>VLOOKUP(F365,'[1]46974159BCSET2026'!$F:$AE,26,0)</f>
        <v>Sim</v>
      </c>
      <c r="H365" t="s">
        <v>3</v>
      </c>
      <c r="I365" s="3">
        <v>46276</v>
      </c>
      <c r="J365" t="s">
        <v>4</v>
      </c>
      <c r="K365" t="s">
        <v>483</v>
      </c>
      <c r="L365" t="s">
        <v>484</v>
      </c>
      <c r="M365" s="8">
        <v>-490.7</v>
      </c>
      <c r="N365" t="s">
        <v>0</v>
      </c>
      <c r="O365" t="s">
        <v>7</v>
      </c>
      <c r="P365" t="s">
        <v>8</v>
      </c>
    </row>
    <row r="366" spans="1:16" ht="13.95" customHeight="1" x14ac:dyDescent="0.25">
      <c r="A366" s="2" t="s">
        <v>0</v>
      </c>
      <c r="B366" t="s">
        <v>1</v>
      </c>
      <c r="C366" s="3">
        <v>46276</v>
      </c>
      <c r="D366" t="s">
        <v>2</v>
      </c>
      <c r="E366" t="s">
        <v>0</v>
      </c>
      <c r="F366" s="5">
        <v>122269</v>
      </c>
      <c r="G366" s="5" t="str">
        <f>VLOOKUP(F366,'[1]46974159BCSET2026'!$F:$AE,26,0)</f>
        <v>Sim</v>
      </c>
      <c r="H366" t="s">
        <v>3</v>
      </c>
      <c r="I366" s="3">
        <v>46276</v>
      </c>
      <c r="J366" t="s">
        <v>4</v>
      </c>
      <c r="K366" t="s">
        <v>485</v>
      </c>
      <c r="L366" t="s">
        <v>486</v>
      </c>
      <c r="M366" s="8">
        <v>-489.18</v>
      </c>
      <c r="N366" t="s">
        <v>0</v>
      </c>
      <c r="O366" t="s">
        <v>7</v>
      </c>
      <c r="P366" t="s">
        <v>8</v>
      </c>
    </row>
    <row r="367" spans="1:16" ht="13.95" customHeight="1" x14ac:dyDescent="0.25">
      <c r="A367" s="2" t="s">
        <v>0</v>
      </c>
      <c r="B367" t="s">
        <v>1</v>
      </c>
      <c r="C367" s="3">
        <v>46276</v>
      </c>
      <c r="D367" t="s">
        <v>2</v>
      </c>
      <c r="E367" t="s">
        <v>0</v>
      </c>
      <c r="F367" s="5">
        <v>122392</v>
      </c>
      <c r="G367" s="5" t="str">
        <f>VLOOKUP(F367,'[1]46974159BCSET2026'!$F:$AE,26,0)</f>
        <v>Sim</v>
      </c>
      <c r="H367" t="s">
        <v>3</v>
      </c>
      <c r="I367" s="3">
        <v>46276</v>
      </c>
      <c r="J367" t="s">
        <v>4</v>
      </c>
      <c r="K367" t="s">
        <v>487</v>
      </c>
      <c r="L367" t="s">
        <v>488</v>
      </c>
      <c r="M367" s="8">
        <v>-489.18</v>
      </c>
      <c r="N367" t="s">
        <v>0</v>
      </c>
      <c r="O367" t="s">
        <v>7</v>
      </c>
      <c r="P367" t="s">
        <v>8</v>
      </c>
    </row>
    <row r="368" spans="1:16" ht="13.95" customHeight="1" x14ac:dyDescent="0.25">
      <c r="A368" s="2" t="s">
        <v>0</v>
      </c>
      <c r="B368" t="s">
        <v>1</v>
      </c>
      <c r="C368" s="3">
        <v>46276</v>
      </c>
      <c r="D368" t="s">
        <v>2</v>
      </c>
      <c r="E368" t="s">
        <v>0</v>
      </c>
      <c r="F368" s="5">
        <v>122532</v>
      </c>
      <c r="G368" s="5" t="str">
        <f>VLOOKUP(F368,'[1]46974159BCSET2026'!$F:$AE,26,0)</f>
        <v>Sim</v>
      </c>
      <c r="H368" t="s">
        <v>3</v>
      </c>
      <c r="I368" s="3">
        <v>46276</v>
      </c>
      <c r="J368" t="s">
        <v>4</v>
      </c>
      <c r="K368" t="s">
        <v>249</v>
      </c>
      <c r="L368" t="s">
        <v>250</v>
      </c>
      <c r="M368" s="8">
        <v>-486.77</v>
      </c>
      <c r="N368" t="s">
        <v>0</v>
      </c>
      <c r="O368" t="s">
        <v>7</v>
      </c>
      <c r="P368" t="s">
        <v>8</v>
      </c>
    </row>
    <row r="369" spans="1:16" ht="13.95" customHeight="1" x14ac:dyDescent="0.25">
      <c r="A369" s="2" t="s">
        <v>0</v>
      </c>
      <c r="B369" t="s">
        <v>1</v>
      </c>
      <c r="C369" s="3">
        <v>46276</v>
      </c>
      <c r="D369" t="s">
        <v>2</v>
      </c>
      <c r="E369" t="s">
        <v>0</v>
      </c>
      <c r="F369" s="5">
        <v>122341</v>
      </c>
      <c r="G369" s="5" t="str">
        <f>VLOOKUP(F369,'[1]46974159BCSET2026'!$F:$AE,26,0)</f>
        <v>Sim</v>
      </c>
      <c r="H369" t="s">
        <v>3</v>
      </c>
      <c r="I369" s="3">
        <v>46276</v>
      </c>
      <c r="J369" t="s">
        <v>4</v>
      </c>
      <c r="K369" t="s">
        <v>489</v>
      </c>
      <c r="L369" t="s">
        <v>490</v>
      </c>
      <c r="M369" s="8">
        <v>-485.32</v>
      </c>
      <c r="N369" t="s">
        <v>0</v>
      </c>
      <c r="O369" t="s">
        <v>7</v>
      </c>
      <c r="P369" t="s">
        <v>8</v>
      </c>
    </row>
    <row r="370" spans="1:16" ht="13.95" customHeight="1" x14ac:dyDescent="0.25">
      <c r="A370" s="2" t="s">
        <v>0</v>
      </c>
      <c r="B370" t="s">
        <v>1</v>
      </c>
      <c r="C370" s="3">
        <v>46276</v>
      </c>
      <c r="D370" t="s">
        <v>2</v>
      </c>
      <c r="E370" t="s">
        <v>0</v>
      </c>
      <c r="F370" s="5">
        <v>122697</v>
      </c>
      <c r="G370" s="5" t="str">
        <f>VLOOKUP(F370,'[1]46974159BCSET2026'!$F:$AE,26,0)</f>
        <v>Sim</v>
      </c>
      <c r="H370" t="s">
        <v>3</v>
      </c>
      <c r="I370" s="3">
        <v>46276</v>
      </c>
      <c r="J370" t="s">
        <v>4</v>
      </c>
      <c r="K370" t="s">
        <v>491</v>
      </c>
      <c r="L370" t="s">
        <v>492</v>
      </c>
      <c r="M370" s="8">
        <v>-484.69</v>
      </c>
      <c r="N370" t="s">
        <v>0</v>
      </c>
      <c r="O370" t="s">
        <v>7</v>
      </c>
      <c r="P370" t="s">
        <v>8</v>
      </c>
    </row>
    <row r="371" spans="1:16" ht="13.95" customHeight="1" x14ac:dyDescent="0.25">
      <c r="A371" s="2" t="s">
        <v>0</v>
      </c>
      <c r="B371" t="s">
        <v>1</v>
      </c>
      <c r="C371" s="3">
        <v>46276</v>
      </c>
      <c r="D371" t="s">
        <v>2</v>
      </c>
      <c r="E371" t="s">
        <v>0</v>
      </c>
      <c r="F371" s="5">
        <v>122751</v>
      </c>
      <c r="G371" s="5" t="str">
        <f>VLOOKUP(F371,'[1]46974159BCSET2026'!$F:$AE,26,0)</f>
        <v>Sim</v>
      </c>
      <c r="H371" t="s">
        <v>3</v>
      </c>
      <c r="I371" s="3">
        <v>46276</v>
      </c>
      <c r="J371" t="s">
        <v>4</v>
      </c>
      <c r="K371" t="s">
        <v>493</v>
      </c>
      <c r="L371" t="s">
        <v>494</v>
      </c>
      <c r="M371" s="8">
        <v>-483.67</v>
      </c>
      <c r="N371" t="s">
        <v>0</v>
      </c>
      <c r="O371" t="s">
        <v>7</v>
      </c>
      <c r="P371" t="s">
        <v>8</v>
      </c>
    </row>
    <row r="372" spans="1:16" ht="13.95" customHeight="1" x14ac:dyDescent="0.25">
      <c r="A372" s="2" t="s">
        <v>0</v>
      </c>
      <c r="B372" t="s">
        <v>1</v>
      </c>
      <c r="C372" s="3">
        <v>46276</v>
      </c>
      <c r="D372" t="s">
        <v>2</v>
      </c>
      <c r="E372" t="s">
        <v>0</v>
      </c>
      <c r="F372" s="5">
        <v>122615</v>
      </c>
      <c r="G372" s="5" t="str">
        <f>VLOOKUP(F372,'[1]46974159BCSET2026'!$F:$AE,26,0)</f>
        <v>Sim</v>
      </c>
      <c r="H372" t="s">
        <v>3</v>
      </c>
      <c r="I372" s="3">
        <v>46276</v>
      </c>
      <c r="J372" t="s">
        <v>4</v>
      </c>
      <c r="K372" t="s">
        <v>495</v>
      </c>
      <c r="L372" t="s">
        <v>496</v>
      </c>
      <c r="M372" s="8">
        <v>-483.67</v>
      </c>
      <c r="N372" t="s">
        <v>0</v>
      </c>
      <c r="O372" t="s">
        <v>7</v>
      </c>
      <c r="P372" t="s">
        <v>8</v>
      </c>
    </row>
    <row r="373" spans="1:16" ht="13.95" customHeight="1" x14ac:dyDescent="0.25">
      <c r="A373" s="2" t="s">
        <v>0</v>
      </c>
      <c r="B373" t="s">
        <v>1</v>
      </c>
      <c r="C373" s="3">
        <v>46276</v>
      </c>
      <c r="D373" t="s">
        <v>2</v>
      </c>
      <c r="E373" t="s">
        <v>0</v>
      </c>
      <c r="F373" s="5">
        <v>122472</v>
      </c>
      <c r="G373" s="5" t="str">
        <f>VLOOKUP(F373,'[1]46974159BCSET2026'!$F:$AE,26,0)</f>
        <v>Sim</v>
      </c>
      <c r="H373" t="s">
        <v>3</v>
      </c>
      <c r="I373" s="3">
        <v>46276</v>
      </c>
      <c r="J373" t="s">
        <v>4</v>
      </c>
      <c r="K373" t="s">
        <v>497</v>
      </c>
      <c r="L373" t="s">
        <v>498</v>
      </c>
      <c r="M373" s="8">
        <v>-483.67</v>
      </c>
      <c r="N373" t="s">
        <v>0</v>
      </c>
      <c r="O373" t="s">
        <v>7</v>
      </c>
      <c r="P373" t="s">
        <v>8</v>
      </c>
    </row>
    <row r="374" spans="1:16" ht="13.95" customHeight="1" x14ac:dyDescent="0.25">
      <c r="A374" s="2" t="s">
        <v>0</v>
      </c>
      <c r="B374" t="s">
        <v>1</v>
      </c>
      <c r="C374" s="3">
        <v>46276</v>
      </c>
      <c r="D374" t="s">
        <v>2</v>
      </c>
      <c r="E374" t="s">
        <v>0</v>
      </c>
      <c r="F374" s="5">
        <v>122604</v>
      </c>
      <c r="G374" s="5" t="str">
        <f>VLOOKUP(F374,'[1]46974159BCSET2026'!$F:$AE,26,0)</f>
        <v>Sim</v>
      </c>
      <c r="H374" t="s">
        <v>3</v>
      </c>
      <c r="I374" s="3">
        <v>46276</v>
      </c>
      <c r="J374" t="s">
        <v>4</v>
      </c>
      <c r="K374" t="s">
        <v>499</v>
      </c>
      <c r="L374" t="s">
        <v>500</v>
      </c>
      <c r="M374" s="8">
        <v>-479.59</v>
      </c>
      <c r="N374" t="s">
        <v>0</v>
      </c>
      <c r="O374" t="s">
        <v>7</v>
      </c>
      <c r="P374" t="s">
        <v>8</v>
      </c>
    </row>
    <row r="375" spans="1:16" ht="13.95" customHeight="1" x14ac:dyDescent="0.25">
      <c r="A375" s="2" t="s">
        <v>0</v>
      </c>
      <c r="B375" t="s">
        <v>1</v>
      </c>
      <c r="C375" s="3">
        <v>46276</v>
      </c>
      <c r="D375" t="s">
        <v>2</v>
      </c>
      <c r="E375" t="s">
        <v>0</v>
      </c>
      <c r="F375" s="5">
        <v>122809</v>
      </c>
      <c r="G375" s="5" t="str">
        <f>VLOOKUP(F375,'[1]46974159BCSET2026'!$F:$AE,26,0)</f>
        <v>Sim</v>
      </c>
      <c r="H375" t="s">
        <v>3</v>
      </c>
      <c r="I375" s="3">
        <v>46276</v>
      </c>
      <c r="J375" t="s">
        <v>4</v>
      </c>
      <c r="K375" t="s">
        <v>501</v>
      </c>
      <c r="L375" t="s">
        <v>502</v>
      </c>
      <c r="M375" s="8">
        <v>-479.59</v>
      </c>
      <c r="N375" t="s">
        <v>0</v>
      </c>
      <c r="O375" t="s">
        <v>7</v>
      </c>
      <c r="P375" t="s">
        <v>8</v>
      </c>
    </row>
    <row r="376" spans="1:16" ht="13.95" customHeight="1" x14ac:dyDescent="0.25">
      <c r="A376" s="2" t="s">
        <v>0</v>
      </c>
      <c r="B376" t="s">
        <v>1</v>
      </c>
      <c r="C376" s="3">
        <v>46276</v>
      </c>
      <c r="D376" t="s">
        <v>2</v>
      </c>
      <c r="E376" t="s">
        <v>0</v>
      </c>
      <c r="F376" s="5">
        <v>122702</v>
      </c>
      <c r="G376" s="5" t="str">
        <f>VLOOKUP(F376,'[1]46974159BCSET2026'!$F:$AE,26,0)</f>
        <v>Sim</v>
      </c>
      <c r="H376" t="s">
        <v>3</v>
      </c>
      <c r="I376" s="3">
        <v>46276</v>
      </c>
      <c r="J376" t="s">
        <v>4</v>
      </c>
      <c r="K376" t="s">
        <v>503</v>
      </c>
      <c r="L376" t="s">
        <v>504</v>
      </c>
      <c r="M376" s="8">
        <v>-476.55</v>
      </c>
      <c r="N376" t="s">
        <v>0</v>
      </c>
      <c r="O376" t="s">
        <v>7</v>
      </c>
      <c r="P376" t="s">
        <v>8</v>
      </c>
    </row>
    <row r="377" spans="1:16" ht="13.95" customHeight="1" x14ac:dyDescent="0.25">
      <c r="A377" s="2" t="s">
        <v>0</v>
      </c>
      <c r="B377" t="s">
        <v>1</v>
      </c>
      <c r="C377" s="3">
        <v>46276</v>
      </c>
      <c r="D377" t="s">
        <v>2</v>
      </c>
      <c r="E377" t="s">
        <v>0</v>
      </c>
      <c r="F377" s="5">
        <v>122539</v>
      </c>
      <c r="G377" s="5" t="str">
        <f>VLOOKUP(F377,'[1]46974159BCSET2026'!$F:$AE,26,0)</f>
        <v>Sim</v>
      </c>
      <c r="H377" t="s">
        <v>3</v>
      </c>
      <c r="I377" s="3">
        <v>46276</v>
      </c>
      <c r="J377" t="s">
        <v>4</v>
      </c>
      <c r="K377" t="s">
        <v>199</v>
      </c>
      <c r="L377" t="s">
        <v>200</v>
      </c>
      <c r="M377" s="8">
        <v>-472.6</v>
      </c>
      <c r="N377" t="s">
        <v>0</v>
      </c>
      <c r="O377" t="s">
        <v>7</v>
      </c>
      <c r="P377" t="s">
        <v>8</v>
      </c>
    </row>
    <row r="378" spans="1:16" ht="13.95" customHeight="1" x14ac:dyDescent="0.25">
      <c r="A378" s="2" t="s">
        <v>0</v>
      </c>
      <c r="B378" t="s">
        <v>1</v>
      </c>
      <c r="C378" s="3">
        <v>46276</v>
      </c>
      <c r="D378" t="s">
        <v>2</v>
      </c>
      <c r="E378" t="s">
        <v>0</v>
      </c>
      <c r="F378" s="5">
        <v>122217</v>
      </c>
      <c r="G378" s="5" t="str">
        <f>VLOOKUP(F378,'[1]46974159BCSET2026'!$F:$AE,26,0)</f>
        <v>Sim</v>
      </c>
      <c r="H378" t="s">
        <v>3</v>
      </c>
      <c r="I378" s="3">
        <v>46276</v>
      </c>
      <c r="J378" t="s">
        <v>4</v>
      </c>
      <c r="K378" t="s">
        <v>42</v>
      </c>
      <c r="L378" t="s">
        <v>43</v>
      </c>
      <c r="M378" s="8">
        <v>-468.02</v>
      </c>
      <c r="N378" t="s">
        <v>0</v>
      </c>
      <c r="O378" t="s">
        <v>7</v>
      </c>
      <c r="P378" t="s">
        <v>8</v>
      </c>
    </row>
    <row r="379" spans="1:16" ht="13.95" customHeight="1" x14ac:dyDescent="0.25">
      <c r="A379" s="2" t="s">
        <v>0</v>
      </c>
      <c r="B379" t="s">
        <v>1</v>
      </c>
      <c r="C379" s="3">
        <v>46276</v>
      </c>
      <c r="D379" t="s">
        <v>2</v>
      </c>
      <c r="E379" t="s">
        <v>0</v>
      </c>
      <c r="F379" s="5">
        <v>122279</v>
      </c>
      <c r="G379" s="5" t="str">
        <f>VLOOKUP(F379,'[1]46974159BCSET2026'!$F:$AE,26,0)</f>
        <v>Sim</v>
      </c>
      <c r="H379" t="s">
        <v>3</v>
      </c>
      <c r="I379" s="3">
        <v>46276</v>
      </c>
      <c r="J379" t="s">
        <v>4</v>
      </c>
      <c r="K379" t="s">
        <v>505</v>
      </c>
      <c r="L379" t="s">
        <v>506</v>
      </c>
      <c r="M379" s="8">
        <v>-465.36</v>
      </c>
      <c r="N379" t="s">
        <v>0</v>
      </c>
      <c r="O379" t="s">
        <v>7</v>
      </c>
      <c r="P379" t="s">
        <v>8</v>
      </c>
    </row>
    <row r="380" spans="1:16" ht="13.95" customHeight="1" x14ac:dyDescent="0.25">
      <c r="A380" s="2" t="s">
        <v>0</v>
      </c>
      <c r="B380" t="s">
        <v>1</v>
      </c>
      <c r="C380" s="3">
        <v>46276</v>
      </c>
      <c r="D380" t="s">
        <v>2</v>
      </c>
      <c r="E380" t="s">
        <v>0</v>
      </c>
      <c r="F380" s="5">
        <v>122319</v>
      </c>
      <c r="G380" s="5" t="str">
        <f>VLOOKUP(F380,'[1]46974159BCSET2026'!$F:$AE,26,0)</f>
        <v>Sim</v>
      </c>
      <c r="H380" t="s">
        <v>3</v>
      </c>
      <c r="I380" s="3">
        <v>46276</v>
      </c>
      <c r="J380" t="s">
        <v>4</v>
      </c>
      <c r="K380" t="s">
        <v>507</v>
      </c>
      <c r="L380" t="s">
        <v>508</v>
      </c>
      <c r="M380" s="8">
        <v>-465.36</v>
      </c>
      <c r="N380" t="s">
        <v>0</v>
      </c>
      <c r="O380" t="s">
        <v>7</v>
      </c>
      <c r="P380" t="s">
        <v>8</v>
      </c>
    </row>
    <row r="381" spans="1:16" ht="13.95" customHeight="1" x14ac:dyDescent="0.25">
      <c r="A381" s="2" t="s">
        <v>0</v>
      </c>
      <c r="B381" t="s">
        <v>1</v>
      </c>
      <c r="C381" s="3">
        <v>46276</v>
      </c>
      <c r="D381" t="s">
        <v>2</v>
      </c>
      <c r="E381" t="s">
        <v>0</v>
      </c>
      <c r="F381" s="5">
        <v>122688</v>
      </c>
      <c r="G381" s="5" t="str">
        <f>VLOOKUP(F381,'[1]46974159BCSET2026'!$F:$AE,26,0)</f>
        <v>Sim</v>
      </c>
      <c r="H381" t="s">
        <v>3</v>
      </c>
      <c r="I381" s="3">
        <v>46276</v>
      </c>
      <c r="J381" t="s">
        <v>4</v>
      </c>
      <c r="K381" t="s">
        <v>243</v>
      </c>
      <c r="L381" t="s">
        <v>244</v>
      </c>
      <c r="M381" s="8">
        <v>-459.39</v>
      </c>
      <c r="N381" t="s">
        <v>0</v>
      </c>
      <c r="O381" t="s">
        <v>7</v>
      </c>
      <c r="P381" t="s">
        <v>8</v>
      </c>
    </row>
    <row r="382" spans="1:16" ht="13.95" customHeight="1" x14ac:dyDescent="0.25">
      <c r="A382" s="2" t="s">
        <v>0</v>
      </c>
      <c r="B382" t="s">
        <v>1</v>
      </c>
      <c r="C382" s="3">
        <v>46276</v>
      </c>
      <c r="D382" t="s">
        <v>2</v>
      </c>
      <c r="E382" t="s">
        <v>0</v>
      </c>
      <c r="F382" s="5">
        <v>122527</v>
      </c>
      <c r="G382" s="5" t="str">
        <f>VLOOKUP(F382,'[1]46974159BCSET2026'!$F:$AE,26,0)</f>
        <v>Sim</v>
      </c>
      <c r="H382" t="s">
        <v>3</v>
      </c>
      <c r="I382" s="3">
        <v>46276</v>
      </c>
      <c r="J382" t="s">
        <v>4</v>
      </c>
      <c r="K382" t="s">
        <v>247</v>
      </c>
      <c r="L382" t="s">
        <v>248</v>
      </c>
      <c r="M382" s="8">
        <v>-459.18</v>
      </c>
      <c r="N382" t="s">
        <v>0</v>
      </c>
      <c r="O382" t="s">
        <v>7</v>
      </c>
      <c r="P382" t="s">
        <v>8</v>
      </c>
    </row>
    <row r="383" spans="1:16" ht="13.95" customHeight="1" x14ac:dyDescent="0.25">
      <c r="A383" s="2" t="s">
        <v>0</v>
      </c>
      <c r="B383" t="s">
        <v>1</v>
      </c>
      <c r="C383" s="3">
        <v>46276</v>
      </c>
      <c r="D383" t="s">
        <v>2</v>
      </c>
      <c r="E383" t="s">
        <v>0</v>
      </c>
      <c r="F383" s="5">
        <v>122680</v>
      </c>
      <c r="G383" s="5" t="str">
        <f>VLOOKUP(F383,'[1]46974159BCSET2026'!$F:$AE,26,0)</f>
        <v>Sim</v>
      </c>
      <c r="H383" t="s">
        <v>3</v>
      </c>
      <c r="I383" s="3">
        <v>46276</v>
      </c>
      <c r="J383" t="s">
        <v>4</v>
      </c>
      <c r="K383" t="s">
        <v>509</v>
      </c>
      <c r="L383" t="s">
        <v>510</v>
      </c>
      <c r="M383" s="8">
        <v>-458.63</v>
      </c>
      <c r="N383" t="s">
        <v>0</v>
      </c>
      <c r="O383" t="s">
        <v>7</v>
      </c>
      <c r="P383" t="s">
        <v>8</v>
      </c>
    </row>
    <row r="384" spans="1:16" ht="13.95" customHeight="1" x14ac:dyDescent="0.25">
      <c r="A384" s="2" t="s">
        <v>0</v>
      </c>
      <c r="B384" t="s">
        <v>1</v>
      </c>
      <c r="C384" s="3">
        <v>46276</v>
      </c>
      <c r="D384" t="s">
        <v>2</v>
      </c>
      <c r="E384" t="s">
        <v>0</v>
      </c>
      <c r="F384" s="5">
        <v>122633</v>
      </c>
      <c r="G384" s="5" t="str">
        <f>VLOOKUP(F384,'[1]46974159BCSET2026'!$F:$AE,26,0)</f>
        <v>Sim</v>
      </c>
      <c r="H384" t="s">
        <v>3</v>
      </c>
      <c r="I384" s="3">
        <v>46276</v>
      </c>
      <c r="J384" t="s">
        <v>4</v>
      </c>
      <c r="K384" t="s">
        <v>511</v>
      </c>
      <c r="L384" t="s">
        <v>512</v>
      </c>
      <c r="M384" s="8">
        <v>-449.47</v>
      </c>
      <c r="N384" t="s">
        <v>0</v>
      </c>
      <c r="O384" t="s">
        <v>7</v>
      </c>
      <c r="P384" t="s">
        <v>8</v>
      </c>
    </row>
    <row r="385" spans="1:16" ht="13.95" customHeight="1" x14ac:dyDescent="0.25">
      <c r="A385" s="2" t="s">
        <v>0</v>
      </c>
      <c r="B385" t="s">
        <v>1</v>
      </c>
      <c r="C385" s="3">
        <v>46276</v>
      </c>
      <c r="D385" t="s">
        <v>2</v>
      </c>
      <c r="E385" t="s">
        <v>0</v>
      </c>
      <c r="F385" s="5">
        <v>122408</v>
      </c>
      <c r="G385" s="5" t="str">
        <f>VLOOKUP(F385,'[1]46974159BCSET2026'!$F:$AE,26,0)</f>
        <v>Sim</v>
      </c>
      <c r="H385" t="s">
        <v>3</v>
      </c>
      <c r="I385" s="3">
        <v>46276</v>
      </c>
      <c r="J385" t="s">
        <v>4</v>
      </c>
      <c r="K385" t="s">
        <v>513</v>
      </c>
      <c r="L385" t="s">
        <v>514</v>
      </c>
      <c r="M385" s="8">
        <v>-449.36</v>
      </c>
      <c r="N385" t="s">
        <v>0</v>
      </c>
      <c r="O385" t="s">
        <v>7</v>
      </c>
      <c r="P385" t="s">
        <v>8</v>
      </c>
    </row>
    <row r="386" spans="1:16" ht="13.95" customHeight="1" x14ac:dyDescent="0.25">
      <c r="A386" s="2" t="s">
        <v>0</v>
      </c>
      <c r="B386" t="s">
        <v>1</v>
      </c>
      <c r="C386" s="3">
        <v>46276</v>
      </c>
      <c r="D386" t="s">
        <v>2</v>
      </c>
      <c r="E386" t="s">
        <v>0</v>
      </c>
      <c r="F386" s="5">
        <v>122496</v>
      </c>
      <c r="G386" s="5" t="str">
        <f>VLOOKUP(F386,'[1]46974159BCSET2026'!$F:$AE,26,0)</f>
        <v>Sim</v>
      </c>
      <c r="H386" t="s">
        <v>3</v>
      </c>
      <c r="I386" s="3">
        <v>46276</v>
      </c>
      <c r="J386" t="s">
        <v>4</v>
      </c>
      <c r="K386" t="s">
        <v>515</v>
      </c>
      <c r="L386" t="s">
        <v>516</v>
      </c>
      <c r="M386" s="8">
        <v>-445.61</v>
      </c>
      <c r="N386" t="s">
        <v>0</v>
      </c>
      <c r="O386" t="s">
        <v>7</v>
      </c>
      <c r="P386" t="s">
        <v>8</v>
      </c>
    </row>
    <row r="387" spans="1:16" ht="13.95" customHeight="1" x14ac:dyDescent="0.25">
      <c r="A387" s="2" t="s">
        <v>0</v>
      </c>
      <c r="B387" t="s">
        <v>1</v>
      </c>
      <c r="C387" s="3">
        <v>46276</v>
      </c>
      <c r="D387" t="s">
        <v>2</v>
      </c>
      <c r="E387" t="s">
        <v>0</v>
      </c>
      <c r="F387" s="5">
        <v>122224</v>
      </c>
      <c r="G387" s="5" t="str">
        <f>VLOOKUP(F387,'[1]46974159BCSET2026'!$F:$AE,26,0)</f>
        <v>Sim</v>
      </c>
      <c r="H387" t="s">
        <v>3</v>
      </c>
      <c r="I387" s="3">
        <v>46276</v>
      </c>
      <c r="J387" t="s">
        <v>4</v>
      </c>
      <c r="K387" t="s">
        <v>22</v>
      </c>
      <c r="L387" t="s">
        <v>23</v>
      </c>
      <c r="M387" s="8">
        <v>-444.04</v>
      </c>
      <c r="N387" t="s">
        <v>0</v>
      </c>
      <c r="O387" t="s">
        <v>7</v>
      </c>
      <c r="P387" t="s">
        <v>8</v>
      </c>
    </row>
    <row r="388" spans="1:16" ht="13.95" customHeight="1" x14ac:dyDescent="0.25">
      <c r="A388" s="2" t="s">
        <v>0</v>
      </c>
      <c r="B388" t="s">
        <v>1</v>
      </c>
      <c r="C388" s="3">
        <v>46276</v>
      </c>
      <c r="D388" t="s">
        <v>2</v>
      </c>
      <c r="E388" t="s">
        <v>0</v>
      </c>
      <c r="F388" s="5">
        <v>122282</v>
      </c>
      <c r="G388" s="5" t="str">
        <f>VLOOKUP(F388,'[1]46974159BCSET2026'!$F:$AE,26,0)</f>
        <v>Sim</v>
      </c>
      <c r="H388" t="s">
        <v>3</v>
      </c>
      <c r="I388" s="3">
        <v>46276</v>
      </c>
      <c r="J388" t="s">
        <v>4</v>
      </c>
      <c r="K388" t="s">
        <v>517</v>
      </c>
      <c r="L388" t="s">
        <v>518</v>
      </c>
      <c r="M388" s="8">
        <v>-440.68</v>
      </c>
      <c r="N388" t="s">
        <v>0</v>
      </c>
      <c r="O388" t="s">
        <v>7</v>
      </c>
      <c r="P388" t="s">
        <v>8</v>
      </c>
    </row>
    <row r="389" spans="1:16" ht="13.95" customHeight="1" x14ac:dyDescent="0.25">
      <c r="A389" s="2" t="s">
        <v>0</v>
      </c>
      <c r="B389" t="s">
        <v>1</v>
      </c>
      <c r="C389" s="3">
        <v>46276</v>
      </c>
      <c r="D389" t="s">
        <v>2</v>
      </c>
      <c r="E389" t="s">
        <v>0</v>
      </c>
      <c r="F389" s="5">
        <v>122351</v>
      </c>
      <c r="G389" s="5" t="str">
        <f>VLOOKUP(F389,'[1]46974159BCSET2026'!$F:$AE,26,0)</f>
        <v>Sim</v>
      </c>
      <c r="H389" t="s">
        <v>3</v>
      </c>
      <c r="I389" s="3">
        <v>46276</v>
      </c>
      <c r="J389" t="s">
        <v>4</v>
      </c>
      <c r="K389" t="s">
        <v>519</v>
      </c>
      <c r="L389" t="s">
        <v>520</v>
      </c>
      <c r="M389" s="8">
        <v>-439.57</v>
      </c>
      <c r="N389" t="s">
        <v>0</v>
      </c>
      <c r="O389" t="s">
        <v>7</v>
      </c>
      <c r="P389" t="s">
        <v>8</v>
      </c>
    </row>
    <row r="390" spans="1:16" ht="13.95" customHeight="1" x14ac:dyDescent="0.25">
      <c r="A390" s="2" t="s">
        <v>0</v>
      </c>
      <c r="B390" t="s">
        <v>1</v>
      </c>
      <c r="C390" s="3">
        <v>46276</v>
      </c>
      <c r="D390" t="s">
        <v>2</v>
      </c>
      <c r="E390" t="s">
        <v>0</v>
      </c>
      <c r="F390" s="5">
        <v>122338</v>
      </c>
      <c r="G390" s="5" t="str">
        <f>VLOOKUP(F390,'[1]46974159BCSET2026'!$F:$AE,26,0)</f>
        <v>Sim</v>
      </c>
      <c r="H390" t="s">
        <v>3</v>
      </c>
      <c r="I390" s="3">
        <v>46276</v>
      </c>
      <c r="J390" t="s">
        <v>4</v>
      </c>
      <c r="K390" t="s">
        <v>521</v>
      </c>
      <c r="L390" t="s">
        <v>522</v>
      </c>
      <c r="M390" s="8">
        <v>-438.86</v>
      </c>
      <c r="N390" t="s">
        <v>0</v>
      </c>
      <c r="O390" t="s">
        <v>7</v>
      </c>
      <c r="P390" t="s">
        <v>8</v>
      </c>
    </row>
    <row r="391" spans="1:16" ht="13.95" customHeight="1" x14ac:dyDescent="0.25">
      <c r="A391" s="2" t="s">
        <v>0</v>
      </c>
      <c r="B391" t="s">
        <v>1</v>
      </c>
      <c r="C391" s="3">
        <v>46276</v>
      </c>
      <c r="D391" t="s">
        <v>2</v>
      </c>
      <c r="E391" t="s">
        <v>0</v>
      </c>
      <c r="F391" s="5">
        <v>122372</v>
      </c>
      <c r="G391" s="5" t="str">
        <f>VLOOKUP(F391,'[1]46974159BCSET2026'!$F:$AE,26,0)</f>
        <v>Sim</v>
      </c>
      <c r="H391" t="s">
        <v>3</v>
      </c>
      <c r="I391" s="3">
        <v>46276</v>
      </c>
      <c r="J391" t="s">
        <v>4</v>
      </c>
      <c r="K391" t="s">
        <v>523</v>
      </c>
      <c r="L391" t="s">
        <v>524</v>
      </c>
      <c r="M391" s="8">
        <v>-436.1</v>
      </c>
      <c r="N391" t="s">
        <v>0</v>
      </c>
      <c r="O391" t="s">
        <v>7</v>
      </c>
      <c r="P391" t="s">
        <v>8</v>
      </c>
    </row>
    <row r="392" spans="1:16" ht="13.95" customHeight="1" x14ac:dyDescent="0.25">
      <c r="A392" s="2" t="s">
        <v>0</v>
      </c>
      <c r="B392" t="s">
        <v>1</v>
      </c>
      <c r="C392" s="3">
        <v>46276</v>
      </c>
      <c r="D392" t="s">
        <v>2</v>
      </c>
      <c r="E392" t="s">
        <v>0</v>
      </c>
      <c r="F392" s="5">
        <v>122245</v>
      </c>
      <c r="G392" s="5" t="str">
        <f>VLOOKUP(F392,'[1]46974159BCSET2026'!$F:$AE,26,0)</f>
        <v>Sim</v>
      </c>
      <c r="H392" t="s">
        <v>3</v>
      </c>
      <c r="I392" s="3">
        <v>46276</v>
      </c>
      <c r="J392" t="s">
        <v>4</v>
      </c>
      <c r="K392" t="s">
        <v>56</v>
      </c>
      <c r="L392" t="s">
        <v>57</v>
      </c>
      <c r="M392" s="8">
        <v>-433.6</v>
      </c>
      <c r="N392" t="s">
        <v>0</v>
      </c>
      <c r="O392" t="s">
        <v>7</v>
      </c>
      <c r="P392" t="s">
        <v>8</v>
      </c>
    </row>
    <row r="393" spans="1:16" ht="13.95" customHeight="1" x14ac:dyDescent="0.25">
      <c r="A393" s="2" t="s">
        <v>0</v>
      </c>
      <c r="B393" t="s">
        <v>1</v>
      </c>
      <c r="C393" s="3">
        <v>46276</v>
      </c>
      <c r="D393" t="s">
        <v>2</v>
      </c>
      <c r="E393" t="s">
        <v>0</v>
      </c>
      <c r="F393" s="5">
        <v>122337</v>
      </c>
      <c r="G393" s="5" t="str">
        <f>VLOOKUP(F393,'[1]46974159BCSET2026'!$F:$AE,26,0)</f>
        <v>Sim</v>
      </c>
      <c r="H393" t="s">
        <v>3</v>
      </c>
      <c r="I393" s="3">
        <v>46276</v>
      </c>
      <c r="J393" t="s">
        <v>4</v>
      </c>
      <c r="K393" t="s">
        <v>525</v>
      </c>
      <c r="L393" t="s">
        <v>526</v>
      </c>
      <c r="M393" s="8">
        <v>-430.42</v>
      </c>
      <c r="N393" t="s">
        <v>0</v>
      </c>
      <c r="O393" t="s">
        <v>7</v>
      </c>
      <c r="P393" t="s">
        <v>8</v>
      </c>
    </row>
    <row r="394" spans="1:16" ht="13.95" customHeight="1" x14ac:dyDescent="0.25">
      <c r="A394" s="2" t="s">
        <v>0</v>
      </c>
      <c r="B394" t="s">
        <v>1</v>
      </c>
      <c r="C394" s="3">
        <v>46276</v>
      </c>
      <c r="D394" t="s">
        <v>2</v>
      </c>
      <c r="E394" t="s">
        <v>0</v>
      </c>
      <c r="F394" s="5">
        <v>122548</v>
      </c>
      <c r="G394" s="5" t="str">
        <f>VLOOKUP(F394,'[1]46974159BCSET2026'!$F:$AE,26,0)</f>
        <v>Sim</v>
      </c>
      <c r="H394" t="s">
        <v>3</v>
      </c>
      <c r="I394" s="3">
        <v>46276</v>
      </c>
      <c r="J394" t="s">
        <v>4</v>
      </c>
      <c r="K394" t="s">
        <v>527</v>
      </c>
      <c r="L394" t="s">
        <v>528</v>
      </c>
      <c r="M394" s="8">
        <v>-424.78</v>
      </c>
      <c r="N394" t="s">
        <v>0</v>
      </c>
      <c r="O394" t="s">
        <v>7</v>
      </c>
      <c r="P394" t="s">
        <v>8</v>
      </c>
    </row>
    <row r="395" spans="1:16" ht="13.95" customHeight="1" x14ac:dyDescent="0.25">
      <c r="A395" s="2" t="s">
        <v>0</v>
      </c>
      <c r="B395" t="s">
        <v>1</v>
      </c>
      <c r="C395" s="3">
        <v>46276</v>
      </c>
      <c r="D395" t="s">
        <v>2</v>
      </c>
      <c r="E395" t="s">
        <v>0</v>
      </c>
      <c r="F395" s="5">
        <v>122499</v>
      </c>
      <c r="G395" s="5" t="str">
        <f>VLOOKUP(F395,'[1]46974159BCSET2026'!$F:$AE,26,0)</f>
        <v>Sim</v>
      </c>
      <c r="H395" t="s">
        <v>3</v>
      </c>
      <c r="I395" s="3">
        <v>46276</v>
      </c>
      <c r="J395" t="s">
        <v>4</v>
      </c>
      <c r="K395" t="s">
        <v>529</v>
      </c>
      <c r="L395" t="s">
        <v>530</v>
      </c>
      <c r="M395" s="8">
        <v>-423.08</v>
      </c>
      <c r="N395" t="s">
        <v>0</v>
      </c>
      <c r="O395" t="s">
        <v>7</v>
      </c>
      <c r="P395" t="s">
        <v>8</v>
      </c>
    </row>
    <row r="396" spans="1:16" ht="13.95" customHeight="1" x14ac:dyDescent="0.25">
      <c r="A396" s="2" t="s">
        <v>0</v>
      </c>
      <c r="B396" t="s">
        <v>1</v>
      </c>
      <c r="C396" s="3">
        <v>46276</v>
      </c>
      <c r="D396" t="s">
        <v>2</v>
      </c>
      <c r="E396" t="s">
        <v>0</v>
      </c>
      <c r="F396" s="5">
        <v>122224</v>
      </c>
      <c r="G396" s="5" t="str">
        <f>VLOOKUP(F396,'[1]46974159BCSET2026'!$F:$AE,26,0)</f>
        <v>Sim</v>
      </c>
      <c r="H396" t="s">
        <v>3</v>
      </c>
      <c r="I396" s="3">
        <v>46276</v>
      </c>
      <c r="J396" t="s">
        <v>4</v>
      </c>
      <c r="K396" t="s">
        <v>22</v>
      </c>
      <c r="L396" t="s">
        <v>23</v>
      </c>
      <c r="M396" s="8">
        <v>-421.67</v>
      </c>
      <c r="N396" t="s">
        <v>0</v>
      </c>
      <c r="O396" t="s">
        <v>7</v>
      </c>
      <c r="P396" t="s">
        <v>8</v>
      </c>
    </row>
    <row r="397" spans="1:16" ht="13.95" customHeight="1" x14ac:dyDescent="0.25">
      <c r="A397" s="2" t="s">
        <v>0</v>
      </c>
      <c r="B397" t="s">
        <v>1</v>
      </c>
      <c r="C397" s="3">
        <v>46276</v>
      </c>
      <c r="D397" t="s">
        <v>2</v>
      </c>
      <c r="E397" t="s">
        <v>0</v>
      </c>
      <c r="F397" s="5">
        <v>122705</v>
      </c>
      <c r="G397" s="5" t="str">
        <f>VLOOKUP(F397,'[1]46974159BCSET2026'!$F:$AE,26,0)</f>
        <v>Sim</v>
      </c>
      <c r="H397" t="s">
        <v>3</v>
      </c>
      <c r="I397" s="3">
        <v>46276</v>
      </c>
      <c r="J397" t="s">
        <v>4</v>
      </c>
      <c r="K397" t="s">
        <v>531</v>
      </c>
      <c r="L397" t="s">
        <v>532</v>
      </c>
      <c r="M397" s="8">
        <v>-414.62</v>
      </c>
      <c r="N397" t="s">
        <v>0</v>
      </c>
      <c r="O397" t="s">
        <v>7</v>
      </c>
      <c r="P397" t="s">
        <v>8</v>
      </c>
    </row>
    <row r="398" spans="1:16" ht="13.95" customHeight="1" x14ac:dyDescent="0.25">
      <c r="A398" s="2" t="s">
        <v>0</v>
      </c>
      <c r="B398" t="s">
        <v>1</v>
      </c>
      <c r="C398" s="3">
        <v>46276</v>
      </c>
      <c r="D398" t="s">
        <v>2</v>
      </c>
      <c r="E398" t="s">
        <v>0</v>
      </c>
      <c r="F398" s="5">
        <v>122482</v>
      </c>
      <c r="G398" s="5" t="str">
        <f>VLOOKUP(F398,'[1]46974159BCSET2026'!$F:$AE,26,0)</f>
        <v>Sim</v>
      </c>
      <c r="H398" t="s">
        <v>3</v>
      </c>
      <c r="I398" s="3">
        <v>46276</v>
      </c>
      <c r="J398" t="s">
        <v>4</v>
      </c>
      <c r="K398" t="s">
        <v>533</v>
      </c>
      <c r="L398" t="s">
        <v>534</v>
      </c>
      <c r="M398" s="8">
        <v>-411.53</v>
      </c>
      <c r="N398" t="s">
        <v>0</v>
      </c>
      <c r="O398" t="s">
        <v>7</v>
      </c>
      <c r="P398" t="s">
        <v>8</v>
      </c>
    </row>
    <row r="399" spans="1:16" ht="13.95" customHeight="1" x14ac:dyDescent="0.25">
      <c r="A399" s="2" t="s">
        <v>0</v>
      </c>
      <c r="B399" t="s">
        <v>1</v>
      </c>
      <c r="C399" s="3">
        <v>46276</v>
      </c>
      <c r="D399" t="s">
        <v>2</v>
      </c>
      <c r="E399" t="s">
        <v>0</v>
      </c>
      <c r="F399" s="5">
        <v>122700</v>
      </c>
      <c r="G399" s="5" t="str">
        <f>VLOOKUP(F399,'[1]46974159BCSET2026'!$F:$AE,26,0)</f>
        <v>Sim</v>
      </c>
      <c r="H399" t="s">
        <v>3</v>
      </c>
      <c r="I399" s="3">
        <v>46276</v>
      </c>
      <c r="J399" t="s">
        <v>4</v>
      </c>
      <c r="K399" t="s">
        <v>353</v>
      </c>
      <c r="L399" t="s">
        <v>354</v>
      </c>
      <c r="M399" s="8">
        <v>-411.1</v>
      </c>
      <c r="N399" t="s">
        <v>0</v>
      </c>
      <c r="O399" t="s">
        <v>7</v>
      </c>
      <c r="P399" t="s">
        <v>8</v>
      </c>
    </row>
    <row r="400" spans="1:16" ht="13.95" customHeight="1" x14ac:dyDescent="0.25">
      <c r="A400" s="2" t="s">
        <v>0</v>
      </c>
      <c r="B400" t="s">
        <v>1</v>
      </c>
      <c r="C400" s="3">
        <v>46276</v>
      </c>
      <c r="D400" t="s">
        <v>2</v>
      </c>
      <c r="E400" t="s">
        <v>0</v>
      </c>
      <c r="F400" s="5">
        <v>122283</v>
      </c>
      <c r="G400" s="5" t="str">
        <f>VLOOKUP(F400,'[1]46974159BCSET2026'!$F:$AE,26,0)</f>
        <v>Sim</v>
      </c>
      <c r="H400" t="s">
        <v>3</v>
      </c>
      <c r="I400" s="3">
        <v>46276</v>
      </c>
      <c r="J400" t="s">
        <v>4</v>
      </c>
      <c r="K400" t="s">
        <v>535</v>
      </c>
      <c r="L400" t="s">
        <v>536</v>
      </c>
      <c r="M400" s="8">
        <v>-410.27</v>
      </c>
      <c r="N400" t="s">
        <v>0</v>
      </c>
      <c r="O400" t="s">
        <v>7</v>
      </c>
      <c r="P400" t="s">
        <v>8</v>
      </c>
    </row>
    <row r="401" spans="1:16" ht="13.95" customHeight="1" x14ac:dyDescent="0.25">
      <c r="A401" s="2" t="s">
        <v>0</v>
      </c>
      <c r="B401" t="s">
        <v>1</v>
      </c>
      <c r="C401" s="3">
        <v>46276</v>
      </c>
      <c r="D401" t="s">
        <v>2</v>
      </c>
      <c r="E401" t="s">
        <v>0</v>
      </c>
      <c r="F401" s="5">
        <v>122568</v>
      </c>
      <c r="G401" s="5" t="str">
        <f>VLOOKUP(F401,'[1]46974159BCSET2026'!$F:$AE,26,0)</f>
        <v>Sim</v>
      </c>
      <c r="H401" t="s">
        <v>3</v>
      </c>
      <c r="I401" s="3">
        <v>46276</v>
      </c>
      <c r="J401" t="s">
        <v>4</v>
      </c>
      <c r="K401" t="s">
        <v>537</v>
      </c>
      <c r="L401" t="s">
        <v>538</v>
      </c>
      <c r="M401" s="8">
        <v>-409.67</v>
      </c>
      <c r="N401" t="s">
        <v>0</v>
      </c>
      <c r="O401" t="s">
        <v>7</v>
      </c>
      <c r="P401" t="s">
        <v>8</v>
      </c>
    </row>
    <row r="402" spans="1:16" ht="13.95" customHeight="1" x14ac:dyDescent="0.25">
      <c r="A402" s="2" t="s">
        <v>0</v>
      </c>
      <c r="B402" t="s">
        <v>1</v>
      </c>
      <c r="C402" s="3">
        <v>46276</v>
      </c>
      <c r="D402" t="s">
        <v>2</v>
      </c>
      <c r="E402" t="s">
        <v>0</v>
      </c>
      <c r="F402" s="5">
        <v>122268</v>
      </c>
      <c r="G402" s="5" t="str">
        <f>VLOOKUP(F402,'[1]46974159BCSET2026'!$F:$AE,26,0)</f>
        <v>Sim</v>
      </c>
      <c r="H402" t="s">
        <v>3</v>
      </c>
      <c r="I402" s="3">
        <v>46276</v>
      </c>
      <c r="J402" t="s">
        <v>4</v>
      </c>
      <c r="K402" t="s">
        <v>539</v>
      </c>
      <c r="L402" t="s">
        <v>540</v>
      </c>
      <c r="M402" s="8">
        <v>-409.16</v>
      </c>
      <c r="N402" t="s">
        <v>0</v>
      </c>
      <c r="O402" t="s">
        <v>7</v>
      </c>
      <c r="P402" t="s">
        <v>8</v>
      </c>
    </row>
    <row r="403" spans="1:16" ht="13.95" customHeight="1" x14ac:dyDescent="0.25">
      <c r="A403" s="2" t="s">
        <v>0</v>
      </c>
      <c r="B403" t="s">
        <v>1</v>
      </c>
      <c r="C403" s="3">
        <v>46276</v>
      </c>
      <c r="D403" t="s">
        <v>2</v>
      </c>
      <c r="E403" t="s">
        <v>0</v>
      </c>
      <c r="F403" s="5">
        <v>122602</v>
      </c>
      <c r="G403" s="5" t="str">
        <f>VLOOKUP(F403,'[1]46974159BCSET2026'!$F:$AE,26,0)</f>
        <v>Sim</v>
      </c>
      <c r="H403" t="s">
        <v>3</v>
      </c>
      <c r="I403" s="3">
        <v>46276</v>
      </c>
      <c r="J403" t="s">
        <v>4</v>
      </c>
      <c r="K403" t="s">
        <v>541</v>
      </c>
      <c r="L403" t="s">
        <v>542</v>
      </c>
      <c r="M403" s="8">
        <v>-408.16</v>
      </c>
      <c r="N403" t="s">
        <v>0</v>
      </c>
      <c r="O403" t="s">
        <v>7</v>
      </c>
      <c r="P403" t="s">
        <v>8</v>
      </c>
    </row>
    <row r="404" spans="1:16" ht="13.95" customHeight="1" x14ac:dyDescent="0.25">
      <c r="A404" s="2" t="s">
        <v>0</v>
      </c>
      <c r="B404" t="s">
        <v>1</v>
      </c>
      <c r="C404" s="3">
        <v>46276</v>
      </c>
      <c r="D404" t="s">
        <v>2</v>
      </c>
      <c r="E404" t="s">
        <v>0</v>
      </c>
      <c r="F404" s="5">
        <v>122265</v>
      </c>
      <c r="G404" s="5" t="str">
        <f>VLOOKUP(F404,'[1]46974159BCSET2026'!$F:$AE,26,0)</f>
        <v>Sim</v>
      </c>
      <c r="H404" t="s">
        <v>3</v>
      </c>
      <c r="I404" s="3">
        <v>46276</v>
      </c>
      <c r="J404" t="s">
        <v>4</v>
      </c>
      <c r="K404" t="s">
        <v>123</v>
      </c>
      <c r="L404" t="s">
        <v>124</v>
      </c>
      <c r="M404" s="8">
        <v>-407.13</v>
      </c>
      <c r="N404" t="s">
        <v>0</v>
      </c>
      <c r="O404" t="s">
        <v>7</v>
      </c>
      <c r="P404" t="s">
        <v>8</v>
      </c>
    </row>
    <row r="405" spans="1:16" ht="13.95" customHeight="1" x14ac:dyDescent="0.25">
      <c r="A405" s="2" t="s">
        <v>0</v>
      </c>
      <c r="B405" t="s">
        <v>1</v>
      </c>
      <c r="C405" s="3">
        <v>46276</v>
      </c>
      <c r="D405" t="s">
        <v>2</v>
      </c>
      <c r="E405" t="s">
        <v>0</v>
      </c>
      <c r="F405" s="5">
        <v>122777</v>
      </c>
      <c r="G405" s="5" t="str">
        <f>VLOOKUP(F405,'[1]46974159BCSET2026'!$F:$AE,26,0)</f>
        <v>Sim</v>
      </c>
      <c r="H405" t="s">
        <v>3</v>
      </c>
      <c r="I405" s="3">
        <v>46276</v>
      </c>
      <c r="J405" t="s">
        <v>4</v>
      </c>
      <c r="K405" t="s">
        <v>543</v>
      </c>
      <c r="L405" t="s">
        <v>544</v>
      </c>
      <c r="M405" s="8">
        <v>-404.08</v>
      </c>
      <c r="N405" t="s">
        <v>0</v>
      </c>
      <c r="O405" t="s">
        <v>7</v>
      </c>
      <c r="P405" t="s">
        <v>8</v>
      </c>
    </row>
    <row r="406" spans="1:16" ht="13.95" customHeight="1" x14ac:dyDescent="0.25">
      <c r="A406" s="2" t="s">
        <v>0</v>
      </c>
      <c r="B406" t="s">
        <v>1</v>
      </c>
      <c r="C406" s="3">
        <v>46276</v>
      </c>
      <c r="D406" t="s">
        <v>2</v>
      </c>
      <c r="E406" t="s">
        <v>0</v>
      </c>
      <c r="F406" s="5">
        <v>122212</v>
      </c>
      <c r="G406" s="5" t="str">
        <f>VLOOKUP(F406,'[1]46974159BCSET2026'!$F:$AE,26,0)</f>
        <v>Sim</v>
      </c>
      <c r="H406" t="s">
        <v>3</v>
      </c>
      <c r="I406" s="3">
        <v>46276</v>
      </c>
      <c r="J406" t="s">
        <v>4</v>
      </c>
      <c r="K406" t="s">
        <v>145</v>
      </c>
      <c r="L406" t="s">
        <v>146</v>
      </c>
      <c r="M406" s="8">
        <v>-398.37</v>
      </c>
      <c r="N406" t="s">
        <v>0</v>
      </c>
      <c r="O406" t="s">
        <v>7</v>
      </c>
      <c r="P406" t="s">
        <v>8</v>
      </c>
    </row>
    <row r="407" spans="1:16" ht="13.95" customHeight="1" x14ac:dyDescent="0.25">
      <c r="A407" s="2" t="s">
        <v>0</v>
      </c>
      <c r="B407" t="s">
        <v>1</v>
      </c>
      <c r="C407" s="3">
        <v>46276</v>
      </c>
      <c r="D407" t="s">
        <v>2</v>
      </c>
      <c r="E407" t="s">
        <v>0</v>
      </c>
      <c r="F407" s="5">
        <v>122217</v>
      </c>
      <c r="G407" s="5" t="str">
        <f>VLOOKUP(F407,'[1]46974159BCSET2026'!$F:$AE,26,0)</f>
        <v>Sim</v>
      </c>
      <c r="H407" t="s">
        <v>3</v>
      </c>
      <c r="I407" s="3">
        <v>46276</v>
      </c>
      <c r="J407" t="s">
        <v>4</v>
      </c>
      <c r="K407" t="s">
        <v>42</v>
      </c>
      <c r="L407" t="s">
        <v>43</v>
      </c>
      <c r="M407" s="8">
        <v>-396.18</v>
      </c>
      <c r="N407" t="s">
        <v>0</v>
      </c>
      <c r="O407" t="s">
        <v>7</v>
      </c>
      <c r="P407" t="s">
        <v>8</v>
      </c>
    </row>
    <row r="408" spans="1:16" ht="13.95" customHeight="1" x14ac:dyDescent="0.25">
      <c r="A408" s="2" t="s">
        <v>0</v>
      </c>
      <c r="B408" t="s">
        <v>1</v>
      </c>
      <c r="C408" s="3">
        <v>46276</v>
      </c>
      <c r="D408" t="s">
        <v>2</v>
      </c>
      <c r="E408" t="s">
        <v>0</v>
      </c>
      <c r="F408" s="5">
        <v>122329</v>
      </c>
      <c r="G408" s="5" t="str">
        <f>VLOOKUP(F408,'[1]46974159BCSET2026'!$F:$AE,26,0)</f>
        <v>Sim</v>
      </c>
      <c r="H408" t="s">
        <v>3</v>
      </c>
      <c r="I408" s="3">
        <v>46276</v>
      </c>
      <c r="J408" t="s">
        <v>4</v>
      </c>
      <c r="K408" t="s">
        <v>545</v>
      </c>
      <c r="L408" t="s">
        <v>546</v>
      </c>
      <c r="M408" s="8">
        <v>-395.51</v>
      </c>
      <c r="N408" t="s">
        <v>0</v>
      </c>
      <c r="O408" t="s">
        <v>7</v>
      </c>
      <c r="P408" t="s">
        <v>8</v>
      </c>
    </row>
    <row r="409" spans="1:16" ht="13.95" customHeight="1" x14ac:dyDescent="0.25">
      <c r="A409" s="2" t="s">
        <v>0</v>
      </c>
      <c r="B409" t="s">
        <v>1</v>
      </c>
      <c r="C409" s="3">
        <v>46276</v>
      </c>
      <c r="D409" t="s">
        <v>2</v>
      </c>
      <c r="E409" t="s">
        <v>0</v>
      </c>
      <c r="F409" s="5">
        <v>122672</v>
      </c>
      <c r="G409" s="5" t="str">
        <f>VLOOKUP(F409,'[1]46974159BCSET2026'!$F:$AE,26,0)</f>
        <v>Sim</v>
      </c>
      <c r="H409" t="s">
        <v>3</v>
      </c>
      <c r="I409" s="3">
        <v>46276</v>
      </c>
      <c r="J409" t="s">
        <v>4</v>
      </c>
      <c r="K409" t="s">
        <v>171</v>
      </c>
      <c r="L409" t="s">
        <v>172</v>
      </c>
      <c r="M409" s="8">
        <v>-393.14</v>
      </c>
      <c r="N409" t="s">
        <v>0</v>
      </c>
      <c r="O409" t="s">
        <v>7</v>
      </c>
      <c r="P409" t="s">
        <v>8</v>
      </c>
    </row>
    <row r="410" spans="1:16" ht="13.95" customHeight="1" x14ac:dyDescent="0.25">
      <c r="A410" s="2" t="s">
        <v>0</v>
      </c>
      <c r="B410" t="s">
        <v>1</v>
      </c>
      <c r="C410" s="3">
        <v>46276</v>
      </c>
      <c r="D410" t="s">
        <v>2</v>
      </c>
      <c r="E410" t="s">
        <v>0</v>
      </c>
      <c r="F410" s="5">
        <v>122274</v>
      </c>
      <c r="G410" s="5" t="str">
        <f>VLOOKUP(F410,'[1]46974159BCSET2026'!$F:$AE,26,0)</f>
        <v>Sim</v>
      </c>
      <c r="H410" t="s">
        <v>3</v>
      </c>
      <c r="I410" s="3">
        <v>46276</v>
      </c>
      <c r="J410" t="s">
        <v>4</v>
      </c>
      <c r="K410" t="s">
        <v>215</v>
      </c>
      <c r="L410" t="s">
        <v>216</v>
      </c>
      <c r="M410" s="8">
        <v>-391.51</v>
      </c>
      <c r="N410" t="s">
        <v>0</v>
      </c>
      <c r="O410" t="s">
        <v>7</v>
      </c>
      <c r="P410" t="s">
        <v>8</v>
      </c>
    </row>
    <row r="411" spans="1:16" ht="13.95" customHeight="1" x14ac:dyDescent="0.25">
      <c r="A411" s="2" t="s">
        <v>0</v>
      </c>
      <c r="B411" t="s">
        <v>1</v>
      </c>
      <c r="C411" s="3">
        <v>46276</v>
      </c>
      <c r="D411" t="s">
        <v>2</v>
      </c>
      <c r="E411" t="s">
        <v>0</v>
      </c>
      <c r="F411" s="5">
        <v>122703</v>
      </c>
      <c r="G411" s="5" t="str">
        <f>VLOOKUP(F411,'[1]46974159BCSET2026'!$F:$AE,26,0)</f>
        <v>Sim</v>
      </c>
      <c r="H411" t="s">
        <v>3</v>
      </c>
      <c r="I411" s="3">
        <v>46276</v>
      </c>
      <c r="J411" t="s">
        <v>4</v>
      </c>
      <c r="K411" t="s">
        <v>547</v>
      </c>
      <c r="L411" t="s">
        <v>548</v>
      </c>
      <c r="M411" s="8">
        <v>-391.29</v>
      </c>
      <c r="N411" t="s">
        <v>0</v>
      </c>
      <c r="O411" t="s">
        <v>7</v>
      </c>
      <c r="P411" t="s">
        <v>8</v>
      </c>
    </row>
    <row r="412" spans="1:16" ht="13.95" customHeight="1" x14ac:dyDescent="0.25">
      <c r="A412" s="2" t="s">
        <v>0</v>
      </c>
      <c r="B412" t="s">
        <v>1</v>
      </c>
      <c r="C412" s="3">
        <v>46281</v>
      </c>
      <c r="D412" t="s">
        <v>549</v>
      </c>
      <c r="E412" t="s">
        <v>0</v>
      </c>
      <c r="F412" s="5">
        <v>122813</v>
      </c>
      <c r="G412" s="5" t="str">
        <f>VLOOKUP(F412,'[1]46974159BCSET2026'!$F:$AE,26,0)</f>
        <v>Sim</v>
      </c>
      <c r="H412" t="s">
        <v>3</v>
      </c>
      <c r="I412" s="3">
        <v>46281</v>
      </c>
      <c r="J412" t="s">
        <v>4</v>
      </c>
      <c r="K412" t="s">
        <v>550</v>
      </c>
      <c r="L412" t="s">
        <v>551</v>
      </c>
      <c r="M412" s="8">
        <v>-382.65</v>
      </c>
      <c r="N412" t="s">
        <v>0</v>
      </c>
      <c r="O412" t="s">
        <v>7</v>
      </c>
      <c r="P412" t="s">
        <v>8</v>
      </c>
    </row>
    <row r="413" spans="1:16" ht="13.95" customHeight="1" x14ac:dyDescent="0.25">
      <c r="A413" s="2" t="s">
        <v>0</v>
      </c>
      <c r="B413" t="s">
        <v>1</v>
      </c>
      <c r="C413" s="3">
        <v>46276</v>
      </c>
      <c r="D413" t="s">
        <v>2</v>
      </c>
      <c r="E413" t="s">
        <v>0</v>
      </c>
      <c r="F413" s="5">
        <v>122306</v>
      </c>
      <c r="G413" s="5" t="str">
        <f>VLOOKUP(F413,'[1]46974159BCSET2026'!$F:$AE,26,0)</f>
        <v>Sim</v>
      </c>
      <c r="H413" t="s">
        <v>3</v>
      </c>
      <c r="I413" s="3">
        <v>46276</v>
      </c>
      <c r="J413" t="s">
        <v>4</v>
      </c>
      <c r="K413" t="s">
        <v>552</v>
      </c>
      <c r="L413" t="s">
        <v>553</v>
      </c>
      <c r="M413" s="8">
        <v>-378.29</v>
      </c>
      <c r="N413" t="s">
        <v>0</v>
      </c>
      <c r="O413" t="s">
        <v>7</v>
      </c>
      <c r="P413" t="s">
        <v>8</v>
      </c>
    </row>
    <row r="414" spans="1:16" ht="13.95" customHeight="1" x14ac:dyDescent="0.25">
      <c r="A414" s="2" t="s">
        <v>0</v>
      </c>
      <c r="B414" t="s">
        <v>1</v>
      </c>
      <c r="C414" s="3">
        <v>46276</v>
      </c>
      <c r="D414" t="s">
        <v>2</v>
      </c>
      <c r="E414" t="s">
        <v>0</v>
      </c>
      <c r="F414" s="5">
        <v>122558</v>
      </c>
      <c r="G414" s="5" t="str">
        <f>VLOOKUP(F414,'[1]46974159BCSET2026'!$F:$AE,26,0)</f>
        <v>Sim</v>
      </c>
      <c r="H414" t="s">
        <v>3</v>
      </c>
      <c r="I414" s="3">
        <v>46276</v>
      </c>
      <c r="J414" t="s">
        <v>4</v>
      </c>
      <c r="K414" t="s">
        <v>554</v>
      </c>
      <c r="L414" t="s">
        <v>555</v>
      </c>
      <c r="M414" s="8">
        <v>-377.26</v>
      </c>
      <c r="N414" t="s">
        <v>0</v>
      </c>
      <c r="O414" t="s">
        <v>7</v>
      </c>
      <c r="P414" t="s">
        <v>8</v>
      </c>
    </row>
    <row r="415" spans="1:16" ht="13.95" customHeight="1" x14ac:dyDescent="0.25">
      <c r="A415" s="2" t="s">
        <v>0</v>
      </c>
      <c r="B415" t="s">
        <v>1</v>
      </c>
      <c r="C415" s="3">
        <v>46276</v>
      </c>
      <c r="D415" t="s">
        <v>2</v>
      </c>
      <c r="E415" t="s">
        <v>0</v>
      </c>
      <c r="F415" s="5">
        <v>122539</v>
      </c>
      <c r="G415" s="5" t="str">
        <f>VLOOKUP(F415,'[1]46974159BCSET2026'!$F:$AE,26,0)</f>
        <v>Sim</v>
      </c>
      <c r="H415" t="s">
        <v>3</v>
      </c>
      <c r="I415" s="3">
        <v>46276</v>
      </c>
      <c r="J415" t="s">
        <v>4</v>
      </c>
      <c r="K415" t="s">
        <v>199</v>
      </c>
      <c r="L415" t="s">
        <v>200</v>
      </c>
      <c r="M415" s="8">
        <v>-371.27</v>
      </c>
      <c r="N415" t="s">
        <v>0</v>
      </c>
      <c r="O415" t="s">
        <v>7</v>
      </c>
      <c r="P415" t="s">
        <v>8</v>
      </c>
    </row>
    <row r="416" spans="1:16" ht="13.95" customHeight="1" x14ac:dyDescent="0.25">
      <c r="A416" s="2" t="s">
        <v>0</v>
      </c>
      <c r="B416" t="s">
        <v>1</v>
      </c>
      <c r="C416" s="3">
        <v>46276</v>
      </c>
      <c r="D416" t="s">
        <v>2</v>
      </c>
      <c r="E416" t="s">
        <v>0</v>
      </c>
      <c r="F416" s="5">
        <v>122299</v>
      </c>
      <c r="G416" s="5" t="str">
        <f>VLOOKUP(F416,'[1]46974159BCSET2026'!$F:$AE,26,0)</f>
        <v>Sim</v>
      </c>
      <c r="H416" t="s">
        <v>3</v>
      </c>
      <c r="I416" s="3">
        <v>46276</v>
      </c>
      <c r="J416" t="s">
        <v>4</v>
      </c>
      <c r="K416" t="s">
        <v>556</v>
      </c>
      <c r="L416" t="s">
        <v>557</v>
      </c>
      <c r="M416" s="8">
        <v>-370.03</v>
      </c>
      <c r="N416" t="s">
        <v>0</v>
      </c>
      <c r="O416" t="s">
        <v>7</v>
      </c>
      <c r="P416" t="s">
        <v>8</v>
      </c>
    </row>
    <row r="417" spans="1:16" ht="13.95" customHeight="1" x14ac:dyDescent="0.25">
      <c r="A417" s="2" t="s">
        <v>0</v>
      </c>
      <c r="B417" t="s">
        <v>1</v>
      </c>
      <c r="C417" s="3">
        <v>46276</v>
      </c>
      <c r="D417" t="s">
        <v>2</v>
      </c>
      <c r="E417" t="s">
        <v>0</v>
      </c>
      <c r="F417" s="5">
        <v>122521</v>
      </c>
      <c r="G417" s="5" t="str">
        <f>VLOOKUP(F417,'[1]46974159BCSET2026'!$F:$AE,26,0)</f>
        <v>Sim</v>
      </c>
      <c r="H417" t="s">
        <v>3</v>
      </c>
      <c r="I417" s="3">
        <v>46276</v>
      </c>
      <c r="J417" t="s">
        <v>4</v>
      </c>
      <c r="K417" t="s">
        <v>558</v>
      </c>
      <c r="L417" t="s">
        <v>559</v>
      </c>
      <c r="M417" s="8">
        <v>-367.04</v>
      </c>
      <c r="N417" t="s">
        <v>0</v>
      </c>
      <c r="O417" t="s">
        <v>7</v>
      </c>
      <c r="P417" t="s">
        <v>8</v>
      </c>
    </row>
    <row r="418" spans="1:16" ht="13.95" customHeight="1" x14ac:dyDescent="0.25">
      <c r="A418" s="2" t="s">
        <v>0</v>
      </c>
      <c r="B418" t="s">
        <v>1</v>
      </c>
      <c r="C418" s="3">
        <v>46276</v>
      </c>
      <c r="D418" t="s">
        <v>2</v>
      </c>
      <c r="E418" t="s">
        <v>0</v>
      </c>
      <c r="F418" s="5">
        <v>122387</v>
      </c>
      <c r="G418" s="5" t="str">
        <f>VLOOKUP(F418,'[1]46974159BCSET2026'!$F:$AE,26,0)</f>
        <v>Sim</v>
      </c>
      <c r="H418" t="s">
        <v>3</v>
      </c>
      <c r="I418" s="3">
        <v>46276</v>
      </c>
      <c r="J418" t="s">
        <v>4</v>
      </c>
      <c r="K418" t="s">
        <v>560</v>
      </c>
      <c r="L418" t="s">
        <v>561</v>
      </c>
      <c r="M418" s="8">
        <v>-361.48</v>
      </c>
      <c r="N418" t="s">
        <v>0</v>
      </c>
      <c r="O418" t="s">
        <v>7</v>
      </c>
      <c r="P418" t="s">
        <v>8</v>
      </c>
    </row>
    <row r="419" spans="1:16" ht="13.95" customHeight="1" x14ac:dyDescent="0.25">
      <c r="A419" s="2" t="s">
        <v>0</v>
      </c>
      <c r="B419" t="s">
        <v>1</v>
      </c>
      <c r="C419" s="3">
        <v>46276</v>
      </c>
      <c r="D419" t="s">
        <v>2</v>
      </c>
      <c r="E419" t="s">
        <v>0</v>
      </c>
      <c r="F419" s="5">
        <v>122243</v>
      </c>
      <c r="G419" s="5" t="str">
        <f>VLOOKUP(F419,'[1]46974159BCSET2026'!$F:$AE,26,0)</f>
        <v>Sim</v>
      </c>
      <c r="H419" t="s">
        <v>3</v>
      </c>
      <c r="I419" s="3">
        <v>46276</v>
      </c>
      <c r="J419" t="s">
        <v>4</v>
      </c>
      <c r="K419" t="s">
        <v>11</v>
      </c>
      <c r="L419" t="s">
        <v>12</v>
      </c>
      <c r="M419" s="8">
        <v>-361.02</v>
      </c>
      <c r="N419" t="s">
        <v>0</v>
      </c>
      <c r="O419" t="s">
        <v>7</v>
      </c>
      <c r="P419" t="s">
        <v>8</v>
      </c>
    </row>
    <row r="420" spans="1:16" ht="13.95" customHeight="1" x14ac:dyDescent="0.25">
      <c r="A420" s="2" t="s">
        <v>0</v>
      </c>
      <c r="B420" t="s">
        <v>1</v>
      </c>
      <c r="C420" s="3">
        <v>46281</v>
      </c>
      <c r="D420" t="s">
        <v>549</v>
      </c>
      <c r="E420" t="s">
        <v>0</v>
      </c>
      <c r="F420" s="5">
        <v>122811</v>
      </c>
      <c r="G420" s="5" t="str">
        <f>VLOOKUP(F420,'[1]46974159BCSET2026'!$F:$AE,26,0)</f>
        <v>Sim</v>
      </c>
      <c r="H420" t="s">
        <v>3</v>
      </c>
      <c r="I420" s="3">
        <v>46281</v>
      </c>
      <c r="J420" t="s">
        <v>4</v>
      </c>
      <c r="K420" t="s">
        <v>562</v>
      </c>
      <c r="L420" t="s">
        <v>563</v>
      </c>
      <c r="M420" s="8">
        <v>-357.14</v>
      </c>
      <c r="N420" t="s">
        <v>0</v>
      </c>
      <c r="O420" t="s">
        <v>7</v>
      </c>
      <c r="P420" t="s">
        <v>8</v>
      </c>
    </row>
    <row r="421" spans="1:16" ht="13.95" customHeight="1" x14ac:dyDescent="0.25">
      <c r="A421" s="2" t="s">
        <v>0</v>
      </c>
      <c r="B421" t="s">
        <v>1</v>
      </c>
      <c r="C421" s="3">
        <v>46276</v>
      </c>
      <c r="D421" t="s">
        <v>2</v>
      </c>
      <c r="E421" t="s">
        <v>0</v>
      </c>
      <c r="F421" s="5">
        <v>122771</v>
      </c>
      <c r="G421" s="5" t="str">
        <f>VLOOKUP(F421,'[1]46974159BCSET2026'!$F:$AE,26,0)</f>
        <v>Sim</v>
      </c>
      <c r="H421" t="s">
        <v>3</v>
      </c>
      <c r="I421" s="3">
        <v>46276</v>
      </c>
      <c r="J421" t="s">
        <v>4</v>
      </c>
      <c r="K421" t="s">
        <v>564</v>
      </c>
      <c r="L421" t="s">
        <v>565</v>
      </c>
      <c r="M421" s="8">
        <v>-356.23</v>
      </c>
      <c r="N421" t="s">
        <v>0</v>
      </c>
      <c r="O421" t="s">
        <v>7</v>
      </c>
      <c r="P421" t="s">
        <v>8</v>
      </c>
    </row>
    <row r="422" spans="1:16" ht="13.95" customHeight="1" x14ac:dyDescent="0.25">
      <c r="A422" s="2" t="s">
        <v>0</v>
      </c>
      <c r="B422" t="s">
        <v>1</v>
      </c>
      <c r="C422" s="3">
        <v>46276</v>
      </c>
      <c r="D422" t="s">
        <v>2</v>
      </c>
      <c r="E422" t="s">
        <v>0</v>
      </c>
      <c r="F422" s="5">
        <v>122677</v>
      </c>
      <c r="G422" s="5" t="str">
        <f>VLOOKUP(F422,'[1]46974159BCSET2026'!$F:$AE,26,0)</f>
        <v>Sim</v>
      </c>
      <c r="H422" t="s">
        <v>3</v>
      </c>
      <c r="I422" s="3">
        <v>46276</v>
      </c>
      <c r="J422" t="s">
        <v>4</v>
      </c>
      <c r="K422" t="s">
        <v>566</v>
      </c>
      <c r="L422" t="s">
        <v>567</v>
      </c>
      <c r="M422" s="8">
        <v>-354.4</v>
      </c>
      <c r="N422" t="s">
        <v>0</v>
      </c>
      <c r="O422" t="s">
        <v>7</v>
      </c>
      <c r="P422" t="s">
        <v>8</v>
      </c>
    </row>
    <row r="423" spans="1:16" ht="13.95" customHeight="1" x14ac:dyDescent="0.25">
      <c r="A423" s="2" t="s">
        <v>0</v>
      </c>
      <c r="B423" t="s">
        <v>1</v>
      </c>
      <c r="C423" s="3">
        <v>46276</v>
      </c>
      <c r="D423" t="s">
        <v>2</v>
      </c>
      <c r="E423" t="s">
        <v>0</v>
      </c>
      <c r="F423" s="5">
        <v>122228</v>
      </c>
      <c r="G423" s="5" t="str">
        <f>VLOOKUP(F423,'[1]46974159BCSET2026'!$F:$AE,26,0)</f>
        <v>Sim</v>
      </c>
      <c r="H423" t="s">
        <v>3</v>
      </c>
      <c r="I423" s="3">
        <v>46276</v>
      </c>
      <c r="J423" t="s">
        <v>4</v>
      </c>
      <c r="K423" t="s">
        <v>568</v>
      </c>
      <c r="L423" t="s">
        <v>569</v>
      </c>
      <c r="M423" s="8">
        <v>-353.57</v>
      </c>
      <c r="N423" t="s">
        <v>0</v>
      </c>
      <c r="O423" t="s">
        <v>7</v>
      </c>
      <c r="P423" t="s">
        <v>8</v>
      </c>
    </row>
    <row r="424" spans="1:16" ht="13.95" customHeight="1" x14ac:dyDescent="0.25">
      <c r="A424" s="2" t="s">
        <v>0</v>
      </c>
      <c r="B424" t="s">
        <v>1</v>
      </c>
      <c r="C424" s="3">
        <v>46276</v>
      </c>
      <c r="D424" t="s">
        <v>2</v>
      </c>
      <c r="E424" t="s">
        <v>0</v>
      </c>
      <c r="F424" s="5">
        <v>122367</v>
      </c>
      <c r="G424" s="5" t="str">
        <f>VLOOKUP(F424,'[1]46974159BCSET2026'!$F:$AE,26,0)</f>
        <v>Sim</v>
      </c>
      <c r="H424" t="s">
        <v>3</v>
      </c>
      <c r="I424" s="3">
        <v>46276</v>
      </c>
      <c r="J424" t="s">
        <v>4</v>
      </c>
      <c r="K424" t="s">
        <v>570</v>
      </c>
      <c r="L424" t="s">
        <v>571</v>
      </c>
      <c r="M424" s="8">
        <v>-352</v>
      </c>
      <c r="N424" t="s">
        <v>0</v>
      </c>
      <c r="O424" t="s">
        <v>7</v>
      </c>
      <c r="P424" t="s">
        <v>8</v>
      </c>
    </row>
    <row r="425" spans="1:16" ht="13.95" customHeight="1" x14ac:dyDescent="0.25">
      <c r="A425" s="2" t="s">
        <v>0</v>
      </c>
      <c r="B425" t="s">
        <v>1</v>
      </c>
      <c r="C425" s="3">
        <v>46276</v>
      </c>
      <c r="D425" t="s">
        <v>2</v>
      </c>
      <c r="E425" t="s">
        <v>0</v>
      </c>
      <c r="F425" s="5">
        <v>122245</v>
      </c>
      <c r="G425" s="5" t="str">
        <f>VLOOKUP(F425,'[1]46974159BCSET2026'!$F:$AE,26,0)</f>
        <v>Sim</v>
      </c>
      <c r="H425" t="s">
        <v>3</v>
      </c>
      <c r="I425" s="3">
        <v>46276</v>
      </c>
      <c r="J425" t="s">
        <v>4</v>
      </c>
      <c r="K425" t="s">
        <v>56</v>
      </c>
      <c r="L425" t="s">
        <v>57</v>
      </c>
      <c r="M425" s="8">
        <v>-351.4</v>
      </c>
      <c r="N425" t="s">
        <v>0</v>
      </c>
      <c r="O425" t="s">
        <v>7</v>
      </c>
      <c r="P425" t="s">
        <v>8</v>
      </c>
    </row>
    <row r="426" spans="1:16" ht="13.95" customHeight="1" x14ac:dyDescent="0.25">
      <c r="A426" s="2" t="s">
        <v>0</v>
      </c>
      <c r="B426" t="s">
        <v>1</v>
      </c>
      <c r="C426" s="3">
        <v>46276</v>
      </c>
      <c r="D426" t="s">
        <v>2</v>
      </c>
      <c r="E426" t="s">
        <v>0</v>
      </c>
      <c r="F426" s="5">
        <v>122652</v>
      </c>
      <c r="G426" s="5" t="str">
        <f>VLOOKUP(F426,'[1]46974159BCSET2026'!$F:$AE,26,0)</f>
        <v>Sim</v>
      </c>
      <c r="H426" t="s">
        <v>3</v>
      </c>
      <c r="I426" s="3">
        <v>46276</v>
      </c>
      <c r="J426" t="s">
        <v>4</v>
      </c>
      <c r="K426" t="s">
        <v>405</v>
      </c>
      <c r="L426" t="s">
        <v>406</v>
      </c>
      <c r="M426" s="8">
        <v>-348.98</v>
      </c>
      <c r="N426" t="s">
        <v>0</v>
      </c>
      <c r="O426" t="s">
        <v>7</v>
      </c>
      <c r="P426" t="s">
        <v>8</v>
      </c>
    </row>
    <row r="427" spans="1:16" ht="13.95" customHeight="1" x14ac:dyDescent="0.25">
      <c r="A427" s="2" t="s">
        <v>0</v>
      </c>
      <c r="B427" t="s">
        <v>1</v>
      </c>
      <c r="C427" s="3">
        <v>46276</v>
      </c>
      <c r="D427" t="s">
        <v>2</v>
      </c>
      <c r="E427" t="s">
        <v>0</v>
      </c>
      <c r="F427" s="5">
        <v>122503</v>
      </c>
      <c r="G427" s="5" t="str">
        <f>VLOOKUP(F427,'[1]46974159BCSET2026'!$F:$AE,26,0)</f>
        <v>Sim</v>
      </c>
      <c r="H427" t="s">
        <v>3</v>
      </c>
      <c r="I427" s="3">
        <v>46276</v>
      </c>
      <c r="J427" t="s">
        <v>4</v>
      </c>
      <c r="K427" t="s">
        <v>572</v>
      </c>
      <c r="L427" t="s">
        <v>573</v>
      </c>
      <c r="M427" s="8">
        <v>-347.58</v>
      </c>
      <c r="N427" t="s">
        <v>0</v>
      </c>
      <c r="O427" t="s">
        <v>7</v>
      </c>
      <c r="P427" t="s">
        <v>8</v>
      </c>
    </row>
    <row r="428" spans="1:16" ht="13.95" customHeight="1" x14ac:dyDescent="0.25">
      <c r="A428" s="2" t="s">
        <v>0</v>
      </c>
      <c r="B428" t="s">
        <v>1</v>
      </c>
      <c r="C428" s="3">
        <v>46276</v>
      </c>
      <c r="D428" t="s">
        <v>2</v>
      </c>
      <c r="E428" t="s">
        <v>0</v>
      </c>
      <c r="F428" s="5">
        <v>122546</v>
      </c>
      <c r="G428" s="5" t="str">
        <f>VLOOKUP(F428,'[1]46974159BCSET2026'!$F:$AE,26,0)</f>
        <v>Sim</v>
      </c>
      <c r="H428" t="s">
        <v>3</v>
      </c>
      <c r="I428" s="3">
        <v>46276</v>
      </c>
      <c r="J428" t="s">
        <v>4</v>
      </c>
      <c r="K428" t="s">
        <v>574</v>
      </c>
      <c r="L428" t="s">
        <v>575</v>
      </c>
      <c r="M428" s="8">
        <v>-344.06</v>
      </c>
      <c r="N428" t="s">
        <v>0</v>
      </c>
      <c r="O428" t="s">
        <v>7</v>
      </c>
      <c r="P428" t="s">
        <v>8</v>
      </c>
    </row>
    <row r="429" spans="1:16" ht="13.95" customHeight="1" x14ac:dyDescent="0.25">
      <c r="A429" s="2" t="s">
        <v>0</v>
      </c>
      <c r="B429" t="s">
        <v>1</v>
      </c>
      <c r="C429" s="3">
        <v>46276</v>
      </c>
      <c r="D429" t="s">
        <v>2</v>
      </c>
      <c r="E429" t="s">
        <v>0</v>
      </c>
      <c r="F429" s="5">
        <v>122682</v>
      </c>
      <c r="G429" s="5" t="str">
        <f>VLOOKUP(F429,'[1]46974159BCSET2026'!$F:$AE,26,0)</f>
        <v>Sim</v>
      </c>
      <c r="H429" t="s">
        <v>3</v>
      </c>
      <c r="I429" s="3">
        <v>46276</v>
      </c>
      <c r="J429" t="s">
        <v>4</v>
      </c>
      <c r="K429" t="s">
        <v>301</v>
      </c>
      <c r="L429" t="s">
        <v>302</v>
      </c>
      <c r="M429" s="8">
        <v>-342.57</v>
      </c>
      <c r="N429" t="s">
        <v>0</v>
      </c>
      <c r="O429" t="s">
        <v>7</v>
      </c>
      <c r="P429" t="s">
        <v>8</v>
      </c>
    </row>
    <row r="430" spans="1:16" ht="13.95" customHeight="1" x14ac:dyDescent="0.25">
      <c r="A430" s="2" t="s">
        <v>0</v>
      </c>
      <c r="B430" t="s">
        <v>1</v>
      </c>
      <c r="C430" s="3">
        <v>46276</v>
      </c>
      <c r="D430" t="s">
        <v>2</v>
      </c>
      <c r="E430" t="s">
        <v>0</v>
      </c>
      <c r="F430" s="5">
        <v>122570</v>
      </c>
      <c r="G430" s="5" t="str">
        <f>VLOOKUP(F430,'[1]46974159BCSET2026'!$F:$AE,26,0)</f>
        <v>Sim</v>
      </c>
      <c r="H430" t="s">
        <v>3</v>
      </c>
      <c r="I430" s="3">
        <v>46276</v>
      </c>
      <c r="J430" t="s">
        <v>4</v>
      </c>
      <c r="K430" t="s">
        <v>576</v>
      </c>
      <c r="L430" t="s">
        <v>577</v>
      </c>
      <c r="M430" s="8">
        <v>-342.12</v>
      </c>
      <c r="N430" t="s">
        <v>0</v>
      </c>
      <c r="O430" t="s">
        <v>7</v>
      </c>
      <c r="P430" t="s">
        <v>8</v>
      </c>
    </row>
    <row r="431" spans="1:16" ht="13.95" customHeight="1" x14ac:dyDescent="0.25">
      <c r="A431" s="2" t="s">
        <v>0</v>
      </c>
      <c r="B431" t="s">
        <v>1</v>
      </c>
      <c r="C431" s="3">
        <v>46276</v>
      </c>
      <c r="D431" t="s">
        <v>2</v>
      </c>
      <c r="E431" t="s">
        <v>0</v>
      </c>
      <c r="F431" s="5">
        <v>122286</v>
      </c>
      <c r="G431" s="5" t="str">
        <f>VLOOKUP(F431,'[1]46974159BCSET2026'!$F:$AE,26,0)</f>
        <v>Sim</v>
      </c>
      <c r="H431" t="s">
        <v>3</v>
      </c>
      <c r="I431" s="3">
        <v>46276</v>
      </c>
      <c r="J431" t="s">
        <v>4</v>
      </c>
      <c r="K431" t="s">
        <v>578</v>
      </c>
      <c r="L431" t="s">
        <v>579</v>
      </c>
      <c r="M431" s="8">
        <v>-338.68</v>
      </c>
      <c r="N431" t="s">
        <v>0</v>
      </c>
      <c r="O431" t="s">
        <v>7</v>
      </c>
      <c r="P431" t="s">
        <v>8</v>
      </c>
    </row>
    <row r="432" spans="1:16" ht="13.95" customHeight="1" x14ac:dyDescent="0.25">
      <c r="A432" s="2" t="s">
        <v>0</v>
      </c>
      <c r="B432" t="s">
        <v>1</v>
      </c>
      <c r="C432" s="3">
        <v>46276</v>
      </c>
      <c r="D432" t="s">
        <v>2</v>
      </c>
      <c r="E432" t="s">
        <v>0</v>
      </c>
      <c r="F432" s="5">
        <v>122285</v>
      </c>
      <c r="G432" s="5" t="str">
        <f>VLOOKUP(F432,'[1]46974159BCSET2026'!$F:$AE,26,0)</f>
        <v>Sim</v>
      </c>
      <c r="H432" t="s">
        <v>3</v>
      </c>
      <c r="I432" s="3">
        <v>46276</v>
      </c>
      <c r="J432" t="s">
        <v>4</v>
      </c>
      <c r="K432" t="s">
        <v>580</v>
      </c>
      <c r="L432" t="s">
        <v>581</v>
      </c>
      <c r="M432" s="8">
        <v>-335.14</v>
      </c>
      <c r="N432" t="s">
        <v>0</v>
      </c>
      <c r="O432" t="s">
        <v>7</v>
      </c>
      <c r="P432" t="s">
        <v>8</v>
      </c>
    </row>
    <row r="433" spans="1:16" ht="13.95" customHeight="1" x14ac:dyDescent="0.25">
      <c r="A433" s="2" t="s">
        <v>0</v>
      </c>
      <c r="B433" t="s">
        <v>1</v>
      </c>
      <c r="C433" s="3">
        <v>46276</v>
      </c>
      <c r="D433" t="s">
        <v>2</v>
      </c>
      <c r="E433" t="s">
        <v>0</v>
      </c>
      <c r="F433" s="5">
        <v>122214</v>
      </c>
      <c r="G433" s="5" t="str">
        <f>VLOOKUP(F433,'[1]46974159BCSET2026'!$F:$AE,26,0)</f>
        <v>Sim</v>
      </c>
      <c r="H433" t="s">
        <v>3</v>
      </c>
      <c r="I433" s="3">
        <v>46276</v>
      </c>
      <c r="J433" t="s">
        <v>4</v>
      </c>
      <c r="K433" t="s">
        <v>582</v>
      </c>
      <c r="L433" t="s">
        <v>583</v>
      </c>
      <c r="M433" s="8">
        <v>-333.67</v>
      </c>
      <c r="N433" t="s">
        <v>0</v>
      </c>
      <c r="O433" t="s">
        <v>7</v>
      </c>
      <c r="P433" t="s">
        <v>8</v>
      </c>
    </row>
    <row r="434" spans="1:16" ht="13.95" customHeight="1" x14ac:dyDescent="0.25">
      <c r="A434" s="2" t="s">
        <v>0</v>
      </c>
      <c r="B434" t="s">
        <v>1</v>
      </c>
      <c r="C434" s="3">
        <v>46276</v>
      </c>
      <c r="D434" t="s">
        <v>2</v>
      </c>
      <c r="E434" t="s">
        <v>0</v>
      </c>
      <c r="F434" s="5">
        <v>122258</v>
      </c>
      <c r="G434" s="5" t="str">
        <f>VLOOKUP(F434,'[1]46974159BCSET2026'!$F:$AE,26,0)</f>
        <v>Sim</v>
      </c>
      <c r="H434" t="s">
        <v>3</v>
      </c>
      <c r="I434" s="3">
        <v>46276</v>
      </c>
      <c r="J434" t="s">
        <v>4</v>
      </c>
      <c r="K434" t="s">
        <v>584</v>
      </c>
      <c r="L434" t="s">
        <v>585</v>
      </c>
      <c r="M434" s="8">
        <v>-333.06</v>
      </c>
      <c r="N434" t="s">
        <v>0</v>
      </c>
      <c r="O434" t="s">
        <v>7</v>
      </c>
      <c r="P434" t="s">
        <v>8</v>
      </c>
    </row>
    <row r="435" spans="1:16" ht="13.95" customHeight="1" x14ac:dyDescent="0.25">
      <c r="A435" s="2" t="s">
        <v>0</v>
      </c>
      <c r="B435" t="s">
        <v>1</v>
      </c>
      <c r="C435" s="3">
        <v>46276</v>
      </c>
      <c r="D435" t="s">
        <v>2</v>
      </c>
      <c r="E435" t="s">
        <v>0</v>
      </c>
      <c r="F435" s="5">
        <v>122500</v>
      </c>
      <c r="G435" s="5" t="str">
        <f>VLOOKUP(F435,'[1]46974159BCSET2026'!$F:$AE,26,0)</f>
        <v>Sim</v>
      </c>
      <c r="H435" t="s">
        <v>3</v>
      </c>
      <c r="I435" s="3">
        <v>46276</v>
      </c>
      <c r="J435" t="s">
        <v>4</v>
      </c>
      <c r="K435" t="s">
        <v>71</v>
      </c>
      <c r="L435" t="s">
        <v>72</v>
      </c>
      <c r="M435" s="8">
        <v>-330.36</v>
      </c>
      <c r="N435" t="s">
        <v>0</v>
      </c>
      <c r="O435" t="s">
        <v>7</v>
      </c>
      <c r="P435" t="s">
        <v>8</v>
      </c>
    </row>
    <row r="436" spans="1:16" ht="13.95" customHeight="1" x14ac:dyDescent="0.25">
      <c r="A436" s="2" t="s">
        <v>0</v>
      </c>
      <c r="B436" t="s">
        <v>1</v>
      </c>
      <c r="C436" s="3">
        <v>46276</v>
      </c>
      <c r="D436" t="s">
        <v>2</v>
      </c>
      <c r="E436" t="s">
        <v>0</v>
      </c>
      <c r="F436" s="5">
        <v>122326</v>
      </c>
      <c r="G436" s="5" t="str">
        <f>VLOOKUP(F436,'[1]46974159BCSET2026'!$F:$AE,26,0)</f>
        <v>Sim</v>
      </c>
      <c r="H436" t="s">
        <v>3</v>
      </c>
      <c r="I436" s="3">
        <v>46276</v>
      </c>
      <c r="J436" t="s">
        <v>4</v>
      </c>
      <c r="K436" t="s">
        <v>586</v>
      </c>
      <c r="L436" t="s">
        <v>587</v>
      </c>
      <c r="M436" s="8">
        <v>-330.18</v>
      </c>
      <c r="N436" t="s">
        <v>0</v>
      </c>
      <c r="O436" t="s">
        <v>7</v>
      </c>
      <c r="P436" t="s">
        <v>8</v>
      </c>
    </row>
    <row r="437" spans="1:16" ht="13.95" customHeight="1" x14ac:dyDescent="0.25">
      <c r="A437" s="2" t="s">
        <v>0</v>
      </c>
      <c r="B437" t="s">
        <v>1</v>
      </c>
      <c r="C437" s="3">
        <v>46276</v>
      </c>
      <c r="D437" t="s">
        <v>2</v>
      </c>
      <c r="E437" t="s">
        <v>0</v>
      </c>
      <c r="F437" s="5">
        <v>122531</v>
      </c>
      <c r="G437" s="5" t="str">
        <f>VLOOKUP(F437,'[1]46974159BCSET2026'!$F:$AE,26,0)</f>
        <v>Sim</v>
      </c>
      <c r="H437" t="s">
        <v>3</v>
      </c>
      <c r="I437" s="3">
        <v>46276</v>
      </c>
      <c r="J437" t="s">
        <v>4</v>
      </c>
      <c r="K437" t="s">
        <v>181</v>
      </c>
      <c r="L437" t="s">
        <v>182</v>
      </c>
      <c r="M437" s="8">
        <v>-320.98</v>
      </c>
      <c r="N437" t="s">
        <v>0</v>
      </c>
      <c r="O437" t="s">
        <v>7</v>
      </c>
      <c r="P437" t="s">
        <v>8</v>
      </c>
    </row>
    <row r="438" spans="1:16" ht="13.95" customHeight="1" x14ac:dyDescent="0.25">
      <c r="A438" s="2" t="s">
        <v>0</v>
      </c>
      <c r="B438" t="s">
        <v>1</v>
      </c>
      <c r="C438" s="3">
        <v>46276</v>
      </c>
      <c r="D438" t="s">
        <v>2</v>
      </c>
      <c r="E438" t="s">
        <v>0</v>
      </c>
      <c r="F438" s="5">
        <v>122524</v>
      </c>
      <c r="G438" s="5" t="str">
        <f>VLOOKUP(F438,'[1]46974159BCSET2026'!$F:$AE,26,0)</f>
        <v>Sim</v>
      </c>
      <c r="H438" t="s">
        <v>3</v>
      </c>
      <c r="I438" s="3">
        <v>46276</v>
      </c>
      <c r="J438" t="s">
        <v>4</v>
      </c>
      <c r="K438" t="s">
        <v>588</v>
      </c>
      <c r="L438" t="s">
        <v>589</v>
      </c>
      <c r="M438" s="8">
        <v>-317.95</v>
      </c>
      <c r="N438" t="s">
        <v>0</v>
      </c>
      <c r="O438" t="s">
        <v>7</v>
      </c>
      <c r="P438" t="s">
        <v>8</v>
      </c>
    </row>
    <row r="439" spans="1:16" ht="13.95" customHeight="1" x14ac:dyDescent="0.25">
      <c r="A439" s="2" t="s">
        <v>0</v>
      </c>
      <c r="B439" t="s">
        <v>1</v>
      </c>
      <c r="C439" s="3">
        <v>46276</v>
      </c>
      <c r="D439" t="s">
        <v>2</v>
      </c>
      <c r="E439" t="s">
        <v>0</v>
      </c>
      <c r="F439" s="5">
        <v>122287</v>
      </c>
      <c r="G439" s="5" t="str">
        <f>VLOOKUP(F439,'[1]46974159BCSET2026'!$F:$AE,26,0)</f>
        <v>Sim</v>
      </c>
      <c r="H439" t="s">
        <v>3</v>
      </c>
      <c r="I439" s="3">
        <v>46276</v>
      </c>
      <c r="J439" t="s">
        <v>4</v>
      </c>
      <c r="K439" t="s">
        <v>590</v>
      </c>
      <c r="L439" t="s">
        <v>591</v>
      </c>
      <c r="M439" s="8">
        <v>-314.45</v>
      </c>
      <c r="N439" t="s">
        <v>0</v>
      </c>
      <c r="O439" t="s">
        <v>7</v>
      </c>
      <c r="P439" t="s">
        <v>8</v>
      </c>
    </row>
    <row r="440" spans="1:16" ht="13.95" customHeight="1" x14ac:dyDescent="0.25">
      <c r="A440" s="2" t="s">
        <v>0</v>
      </c>
      <c r="B440" t="s">
        <v>1</v>
      </c>
      <c r="C440" s="3">
        <v>46276</v>
      </c>
      <c r="D440" t="s">
        <v>2</v>
      </c>
      <c r="E440" t="s">
        <v>0</v>
      </c>
      <c r="F440" s="5">
        <v>122710</v>
      </c>
      <c r="G440" s="5" t="str">
        <f>VLOOKUP(F440,'[1]46974159BCSET2026'!$F:$AE,26,0)</f>
        <v>Sim</v>
      </c>
      <c r="H440" t="s">
        <v>3</v>
      </c>
      <c r="I440" s="3">
        <v>46276</v>
      </c>
      <c r="J440" t="s">
        <v>4</v>
      </c>
      <c r="K440" t="s">
        <v>592</v>
      </c>
      <c r="L440" t="s">
        <v>593</v>
      </c>
      <c r="M440" s="8">
        <v>-310.41000000000003</v>
      </c>
      <c r="N440" t="s">
        <v>0</v>
      </c>
      <c r="O440" t="s">
        <v>7</v>
      </c>
      <c r="P440" t="s">
        <v>8</v>
      </c>
    </row>
    <row r="441" spans="1:16" ht="13.95" customHeight="1" x14ac:dyDescent="0.25">
      <c r="A441" s="2" t="s">
        <v>0</v>
      </c>
      <c r="B441" t="s">
        <v>1</v>
      </c>
      <c r="C441" s="3">
        <v>46276</v>
      </c>
      <c r="D441" t="s">
        <v>2</v>
      </c>
      <c r="E441" t="s">
        <v>0</v>
      </c>
      <c r="F441" s="5">
        <v>122687</v>
      </c>
      <c r="G441" s="5" t="str">
        <f>VLOOKUP(F441,'[1]46974159BCSET2026'!$F:$AE,26,0)</f>
        <v>Sim</v>
      </c>
      <c r="H441" t="s">
        <v>3</v>
      </c>
      <c r="I441" s="3">
        <v>46276</v>
      </c>
      <c r="J441" t="s">
        <v>4</v>
      </c>
      <c r="K441" t="s">
        <v>594</v>
      </c>
      <c r="L441" t="s">
        <v>595</v>
      </c>
      <c r="M441" s="8">
        <v>-309.57</v>
      </c>
      <c r="N441" t="s">
        <v>0</v>
      </c>
      <c r="O441" t="s">
        <v>7</v>
      </c>
      <c r="P441" t="s">
        <v>8</v>
      </c>
    </row>
    <row r="442" spans="1:16" ht="13.95" customHeight="1" x14ac:dyDescent="0.25">
      <c r="A442" s="2" t="s">
        <v>0</v>
      </c>
      <c r="B442" t="s">
        <v>1</v>
      </c>
      <c r="C442" s="3">
        <v>46276</v>
      </c>
      <c r="D442" t="s">
        <v>2</v>
      </c>
      <c r="E442" t="s">
        <v>0</v>
      </c>
      <c r="F442" s="5">
        <v>122707</v>
      </c>
      <c r="G442" s="5" t="str">
        <f>VLOOKUP(F442,'[1]46974159BCSET2026'!$F:$AE,26,0)</f>
        <v>Sim</v>
      </c>
      <c r="H442" t="s">
        <v>3</v>
      </c>
      <c r="I442" s="3">
        <v>46276</v>
      </c>
      <c r="J442" t="s">
        <v>4</v>
      </c>
      <c r="K442" t="s">
        <v>596</v>
      </c>
      <c r="L442" t="s">
        <v>597</v>
      </c>
      <c r="M442" s="8">
        <v>-308.57</v>
      </c>
      <c r="N442" t="s">
        <v>0</v>
      </c>
      <c r="O442" t="s">
        <v>7</v>
      </c>
      <c r="P442" t="s">
        <v>8</v>
      </c>
    </row>
    <row r="443" spans="1:16" ht="13.95" customHeight="1" x14ac:dyDescent="0.25">
      <c r="A443" s="2" t="s">
        <v>0</v>
      </c>
      <c r="B443" t="s">
        <v>1</v>
      </c>
      <c r="C443" s="3">
        <v>46276</v>
      </c>
      <c r="D443" t="s">
        <v>2</v>
      </c>
      <c r="E443" t="s">
        <v>0</v>
      </c>
      <c r="F443" s="5">
        <v>122188</v>
      </c>
      <c r="G443" s="5" t="str">
        <f>VLOOKUP(F443,'[1]46974159BCSET2026'!$F:$AE,26,0)</f>
        <v>Sim</v>
      </c>
      <c r="H443" t="s">
        <v>3</v>
      </c>
      <c r="I443" s="3">
        <v>46276</v>
      </c>
      <c r="J443" t="s">
        <v>4</v>
      </c>
      <c r="K443" t="s">
        <v>598</v>
      </c>
      <c r="L443" t="s">
        <v>599</v>
      </c>
      <c r="M443" s="8">
        <v>-308.16000000000003</v>
      </c>
      <c r="N443" t="s">
        <v>0</v>
      </c>
      <c r="O443" t="s">
        <v>7</v>
      </c>
      <c r="P443" t="s">
        <v>8</v>
      </c>
    </row>
    <row r="444" spans="1:16" ht="13.95" customHeight="1" x14ac:dyDescent="0.25">
      <c r="A444" s="2" t="s">
        <v>0</v>
      </c>
      <c r="B444" t="s">
        <v>1</v>
      </c>
      <c r="C444" s="3">
        <v>46276</v>
      </c>
      <c r="D444" t="s">
        <v>2</v>
      </c>
      <c r="E444" t="s">
        <v>0</v>
      </c>
      <c r="F444" s="5">
        <v>122673</v>
      </c>
      <c r="G444" s="5" t="str">
        <f>VLOOKUP(F444,'[1]46974159BCSET2026'!$F:$AE,26,0)</f>
        <v>Sim</v>
      </c>
      <c r="H444" t="s">
        <v>3</v>
      </c>
      <c r="I444" s="3">
        <v>46276</v>
      </c>
      <c r="J444" t="s">
        <v>4</v>
      </c>
      <c r="K444" t="s">
        <v>327</v>
      </c>
      <c r="L444" t="s">
        <v>328</v>
      </c>
      <c r="M444" s="8">
        <v>-306.54000000000002</v>
      </c>
      <c r="N444" t="s">
        <v>0</v>
      </c>
      <c r="O444" t="s">
        <v>7</v>
      </c>
      <c r="P444" t="s">
        <v>8</v>
      </c>
    </row>
    <row r="445" spans="1:16" ht="13.95" customHeight="1" x14ac:dyDescent="0.25">
      <c r="A445" s="2" t="s">
        <v>0</v>
      </c>
      <c r="B445" t="s">
        <v>1</v>
      </c>
      <c r="C445" s="3">
        <v>46276</v>
      </c>
      <c r="D445" t="s">
        <v>2</v>
      </c>
      <c r="E445" t="s">
        <v>0</v>
      </c>
      <c r="F445" s="5">
        <v>122217</v>
      </c>
      <c r="G445" s="5" t="str">
        <f>VLOOKUP(F445,'[1]46974159BCSET2026'!$F:$AE,26,0)</f>
        <v>Sim</v>
      </c>
      <c r="H445" t="s">
        <v>3</v>
      </c>
      <c r="I445" s="3">
        <v>46276</v>
      </c>
      <c r="J445" t="s">
        <v>4</v>
      </c>
      <c r="K445" t="s">
        <v>42</v>
      </c>
      <c r="L445" t="s">
        <v>43</v>
      </c>
      <c r="M445" s="8">
        <v>-304.8</v>
      </c>
      <c r="N445" t="s">
        <v>0</v>
      </c>
      <c r="O445" t="s">
        <v>7</v>
      </c>
      <c r="P445" t="s">
        <v>8</v>
      </c>
    </row>
    <row r="446" spans="1:16" ht="13.95" customHeight="1" x14ac:dyDescent="0.25">
      <c r="A446" s="2" t="s">
        <v>0</v>
      </c>
      <c r="B446" t="s">
        <v>1</v>
      </c>
      <c r="C446" s="3">
        <v>46276</v>
      </c>
      <c r="D446" t="s">
        <v>2</v>
      </c>
      <c r="E446" t="s">
        <v>0</v>
      </c>
      <c r="F446" s="5">
        <v>122544</v>
      </c>
      <c r="G446" s="5" t="str">
        <f>VLOOKUP(F446,'[1]46974159BCSET2026'!$F:$AE,26,0)</f>
        <v>Sim</v>
      </c>
      <c r="H446" t="s">
        <v>3</v>
      </c>
      <c r="I446" s="3">
        <v>46276</v>
      </c>
      <c r="J446" t="s">
        <v>4</v>
      </c>
      <c r="K446" t="s">
        <v>600</v>
      </c>
      <c r="L446" t="s">
        <v>601</v>
      </c>
      <c r="M446" s="8">
        <v>-303.57</v>
      </c>
      <c r="N446" t="s">
        <v>0</v>
      </c>
      <c r="O446" t="s">
        <v>7</v>
      </c>
      <c r="P446" t="s">
        <v>8</v>
      </c>
    </row>
    <row r="447" spans="1:16" ht="13.95" customHeight="1" x14ac:dyDescent="0.25">
      <c r="A447" s="2" t="s">
        <v>0</v>
      </c>
      <c r="B447" t="s">
        <v>1</v>
      </c>
      <c r="C447" s="3">
        <v>46276</v>
      </c>
      <c r="D447" t="s">
        <v>2</v>
      </c>
      <c r="E447" t="s">
        <v>0</v>
      </c>
      <c r="F447" s="5">
        <v>122544</v>
      </c>
      <c r="G447" s="5" t="str">
        <f>VLOOKUP(F447,'[1]46974159BCSET2026'!$F:$AE,26,0)</f>
        <v>Sim</v>
      </c>
      <c r="H447" t="s">
        <v>3</v>
      </c>
      <c r="I447" s="3">
        <v>46276</v>
      </c>
      <c r="J447" t="s">
        <v>4</v>
      </c>
      <c r="K447" t="s">
        <v>600</v>
      </c>
      <c r="L447" t="s">
        <v>601</v>
      </c>
      <c r="M447" s="8">
        <v>-303.57</v>
      </c>
      <c r="N447" t="s">
        <v>0</v>
      </c>
      <c r="O447" t="s">
        <v>7</v>
      </c>
      <c r="P447" t="s">
        <v>8</v>
      </c>
    </row>
    <row r="448" spans="1:16" ht="13.95" customHeight="1" x14ac:dyDescent="0.25">
      <c r="A448" s="2" t="s">
        <v>0</v>
      </c>
      <c r="B448" t="s">
        <v>1</v>
      </c>
      <c r="C448" s="3">
        <v>46276</v>
      </c>
      <c r="D448" t="s">
        <v>2</v>
      </c>
      <c r="E448" t="s">
        <v>0</v>
      </c>
      <c r="F448" s="5">
        <v>122606</v>
      </c>
      <c r="G448" s="5" t="str">
        <f>VLOOKUP(F448,'[1]46974159BCSET2026'!$F:$AE,26,0)</f>
        <v>Sim</v>
      </c>
      <c r="H448" t="s">
        <v>3</v>
      </c>
      <c r="I448" s="3">
        <v>46276</v>
      </c>
      <c r="J448" t="s">
        <v>4</v>
      </c>
      <c r="K448" t="s">
        <v>602</v>
      </c>
      <c r="L448" t="s">
        <v>603</v>
      </c>
      <c r="M448" s="8">
        <v>-302.7</v>
      </c>
      <c r="N448" t="s">
        <v>0</v>
      </c>
      <c r="O448" t="s">
        <v>7</v>
      </c>
      <c r="P448" t="s">
        <v>8</v>
      </c>
    </row>
    <row r="449" spans="1:16" ht="13.95" customHeight="1" x14ac:dyDescent="0.25">
      <c r="A449" s="2" t="s">
        <v>0</v>
      </c>
      <c r="B449" t="s">
        <v>1</v>
      </c>
      <c r="C449" s="3">
        <v>46276</v>
      </c>
      <c r="D449" t="s">
        <v>2</v>
      </c>
      <c r="E449" t="s">
        <v>0</v>
      </c>
      <c r="F449" s="5">
        <v>122220</v>
      </c>
      <c r="G449" s="5" t="str">
        <f>VLOOKUP(F449,'[1]46974159BCSET2026'!$F:$AE,26,0)</f>
        <v>Sim</v>
      </c>
      <c r="H449" t="s">
        <v>3</v>
      </c>
      <c r="I449" s="3">
        <v>46276</v>
      </c>
      <c r="J449" t="s">
        <v>4</v>
      </c>
      <c r="K449" t="s">
        <v>604</v>
      </c>
      <c r="L449" t="s">
        <v>605</v>
      </c>
      <c r="M449" s="8">
        <v>-298.89999999999998</v>
      </c>
      <c r="N449" t="s">
        <v>0</v>
      </c>
      <c r="O449" t="s">
        <v>7</v>
      </c>
      <c r="P449" t="s">
        <v>8</v>
      </c>
    </row>
    <row r="450" spans="1:16" ht="13.95" customHeight="1" x14ac:dyDescent="0.25">
      <c r="A450" s="2" t="s">
        <v>0</v>
      </c>
      <c r="B450" t="s">
        <v>1</v>
      </c>
      <c r="C450" s="3">
        <v>46276</v>
      </c>
      <c r="D450" t="s">
        <v>2</v>
      </c>
      <c r="E450" t="s">
        <v>0</v>
      </c>
      <c r="F450" s="5">
        <v>122665</v>
      </c>
      <c r="G450" s="5" t="str">
        <f>VLOOKUP(F450,'[1]46974159BCSET2026'!$F:$AE,26,0)</f>
        <v>Sim</v>
      </c>
      <c r="H450" t="s">
        <v>3</v>
      </c>
      <c r="I450" s="3">
        <v>46276</v>
      </c>
      <c r="J450" t="s">
        <v>4</v>
      </c>
      <c r="K450" t="s">
        <v>606</v>
      </c>
      <c r="L450" t="s">
        <v>607</v>
      </c>
      <c r="M450" s="8">
        <v>-298.61</v>
      </c>
      <c r="N450" t="s">
        <v>0</v>
      </c>
      <c r="O450" t="s">
        <v>7</v>
      </c>
      <c r="P450" t="s">
        <v>8</v>
      </c>
    </row>
    <row r="451" spans="1:16" ht="13.95" customHeight="1" x14ac:dyDescent="0.25">
      <c r="A451" s="2" t="s">
        <v>0</v>
      </c>
      <c r="B451" t="s">
        <v>1</v>
      </c>
      <c r="C451" s="3">
        <v>46276</v>
      </c>
      <c r="D451" t="s">
        <v>2</v>
      </c>
      <c r="E451" t="s">
        <v>0</v>
      </c>
      <c r="F451" s="5">
        <v>122264</v>
      </c>
      <c r="G451" s="5" t="str">
        <f>VLOOKUP(F451,'[1]46974159BCSET2026'!$F:$AE,26,0)</f>
        <v>Sim</v>
      </c>
      <c r="H451" t="s">
        <v>3</v>
      </c>
      <c r="I451" s="3">
        <v>46276</v>
      </c>
      <c r="J451" t="s">
        <v>4</v>
      </c>
      <c r="K451" t="s">
        <v>608</v>
      </c>
      <c r="L451" t="s">
        <v>609</v>
      </c>
      <c r="M451" s="8">
        <v>-290.82</v>
      </c>
      <c r="N451" t="s">
        <v>0</v>
      </c>
      <c r="O451" t="s">
        <v>7</v>
      </c>
      <c r="P451" t="s">
        <v>8</v>
      </c>
    </row>
    <row r="452" spans="1:16" ht="13.95" customHeight="1" x14ac:dyDescent="0.25">
      <c r="A452" s="2" t="s">
        <v>0</v>
      </c>
      <c r="B452" t="s">
        <v>1</v>
      </c>
      <c r="C452" s="3">
        <v>46276</v>
      </c>
      <c r="D452" t="s">
        <v>2</v>
      </c>
      <c r="E452" t="s">
        <v>0</v>
      </c>
      <c r="F452" s="5">
        <v>122272</v>
      </c>
      <c r="G452" s="5" t="str">
        <f>VLOOKUP(F452,'[1]46974159BCSET2026'!$F:$AE,26,0)</f>
        <v>Sim</v>
      </c>
      <c r="H452" t="s">
        <v>3</v>
      </c>
      <c r="I452" s="3">
        <v>46276</v>
      </c>
      <c r="J452" t="s">
        <v>4</v>
      </c>
      <c r="K452" t="s">
        <v>610</v>
      </c>
      <c r="L452" t="s">
        <v>611</v>
      </c>
      <c r="M452" s="8">
        <v>-287.76</v>
      </c>
      <c r="N452" t="s">
        <v>0</v>
      </c>
      <c r="O452" t="s">
        <v>7</v>
      </c>
      <c r="P452" t="s">
        <v>8</v>
      </c>
    </row>
    <row r="453" spans="1:16" ht="13.95" customHeight="1" x14ac:dyDescent="0.25">
      <c r="A453" s="2" t="s">
        <v>0</v>
      </c>
      <c r="B453" t="s">
        <v>1</v>
      </c>
      <c r="C453" s="3">
        <v>46276</v>
      </c>
      <c r="D453" t="s">
        <v>2</v>
      </c>
      <c r="E453" t="s">
        <v>0</v>
      </c>
      <c r="F453" s="5">
        <v>122670</v>
      </c>
      <c r="G453" s="5" t="str">
        <f>VLOOKUP(F453,'[1]46974159BCSET2026'!$F:$AE,26,0)</f>
        <v>Sim</v>
      </c>
      <c r="H453" t="s">
        <v>3</v>
      </c>
      <c r="I453" s="3">
        <v>46276</v>
      </c>
      <c r="J453" t="s">
        <v>4</v>
      </c>
      <c r="K453" t="s">
        <v>261</v>
      </c>
      <c r="L453" t="s">
        <v>262</v>
      </c>
      <c r="M453" s="8">
        <v>-287.76</v>
      </c>
      <c r="N453" t="s">
        <v>0</v>
      </c>
      <c r="O453" t="s">
        <v>7</v>
      </c>
      <c r="P453" t="s">
        <v>8</v>
      </c>
    </row>
    <row r="454" spans="1:16" ht="13.95" customHeight="1" x14ac:dyDescent="0.25">
      <c r="A454" s="2" t="s">
        <v>0</v>
      </c>
      <c r="B454" t="s">
        <v>1</v>
      </c>
      <c r="C454" s="3">
        <v>46276</v>
      </c>
      <c r="D454" t="s">
        <v>2</v>
      </c>
      <c r="E454" t="s">
        <v>0</v>
      </c>
      <c r="F454" s="5">
        <v>122683</v>
      </c>
      <c r="G454" s="5" t="str">
        <f>VLOOKUP(F454,'[1]46974159BCSET2026'!$F:$AE,26,0)</f>
        <v>Sim</v>
      </c>
      <c r="H454" t="s">
        <v>3</v>
      </c>
      <c r="I454" s="3">
        <v>46276</v>
      </c>
      <c r="J454" t="s">
        <v>4</v>
      </c>
      <c r="K454" t="s">
        <v>233</v>
      </c>
      <c r="L454" t="s">
        <v>234</v>
      </c>
      <c r="M454" s="8">
        <v>-287.76</v>
      </c>
      <c r="N454" t="s">
        <v>0</v>
      </c>
      <c r="O454" t="s">
        <v>7</v>
      </c>
      <c r="P454" t="s">
        <v>8</v>
      </c>
    </row>
    <row r="455" spans="1:16" ht="13.95" customHeight="1" x14ac:dyDescent="0.25">
      <c r="A455" s="2" t="s">
        <v>0</v>
      </c>
      <c r="B455" t="s">
        <v>1</v>
      </c>
      <c r="C455" s="3">
        <v>46276</v>
      </c>
      <c r="D455" t="s">
        <v>2</v>
      </c>
      <c r="E455" t="s">
        <v>0</v>
      </c>
      <c r="F455" s="5">
        <v>122713</v>
      </c>
      <c r="G455" s="5" t="str">
        <f>VLOOKUP(F455,'[1]46974159BCSET2026'!$F:$AE,26,0)</f>
        <v>Sim</v>
      </c>
      <c r="H455" t="s">
        <v>3</v>
      </c>
      <c r="I455" s="3">
        <v>46276</v>
      </c>
      <c r="J455" t="s">
        <v>4</v>
      </c>
      <c r="K455" t="s">
        <v>612</v>
      </c>
      <c r="L455" t="s">
        <v>613</v>
      </c>
      <c r="M455" s="8">
        <v>-286.29000000000002</v>
      </c>
      <c r="N455" t="s">
        <v>0</v>
      </c>
      <c r="O455" t="s">
        <v>7</v>
      </c>
      <c r="P455" t="s">
        <v>8</v>
      </c>
    </row>
    <row r="456" spans="1:16" ht="13.95" customHeight="1" x14ac:dyDescent="0.25">
      <c r="A456" s="2" t="s">
        <v>0</v>
      </c>
      <c r="B456" t="s">
        <v>1</v>
      </c>
      <c r="C456" s="3">
        <v>46276</v>
      </c>
      <c r="D456" t="s">
        <v>2</v>
      </c>
      <c r="E456" t="s">
        <v>0</v>
      </c>
      <c r="F456" s="5">
        <v>122676</v>
      </c>
      <c r="G456" s="5" t="str">
        <f>VLOOKUP(F456,'[1]46974159BCSET2026'!$F:$AE,26,0)</f>
        <v>Sim</v>
      </c>
      <c r="H456" t="s">
        <v>3</v>
      </c>
      <c r="I456" s="3">
        <v>46276</v>
      </c>
      <c r="J456" t="s">
        <v>4</v>
      </c>
      <c r="K456" t="s">
        <v>377</v>
      </c>
      <c r="L456" t="s">
        <v>378</v>
      </c>
      <c r="M456" s="8">
        <v>-278.94</v>
      </c>
      <c r="N456" t="s">
        <v>0</v>
      </c>
      <c r="O456" t="s">
        <v>7</v>
      </c>
      <c r="P456" t="s">
        <v>8</v>
      </c>
    </row>
    <row r="457" spans="1:16" ht="13.95" customHeight="1" x14ac:dyDescent="0.25">
      <c r="A457" s="2" t="s">
        <v>0</v>
      </c>
      <c r="B457" t="s">
        <v>1</v>
      </c>
      <c r="C457" s="3">
        <v>46276</v>
      </c>
      <c r="D457" t="s">
        <v>2</v>
      </c>
      <c r="E457" t="s">
        <v>0</v>
      </c>
      <c r="F457" s="5">
        <v>122235</v>
      </c>
      <c r="G457" s="5" t="str">
        <f>VLOOKUP(F457,'[1]46974159BCSET2026'!$F:$AE,26,0)</f>
        <v>Sim</v>
      </c>
      <c r="H457" t="s">
        <v>3</v>
      </c>
      <c r="I457" s="3">
        <v>46276</v>
      </c>
      <c r="J457" t="s">
        <v>4</v>
      </c>
      <c r="K457" t="s">
        <v>401</v>
      </c>
      <c r="L457" t="s">
        <v>402</v>
      </c>
      <c r="M457" s="8">
        <v>-276.43</v>
      </c>
      <c r="N457" t="s">
        <v>0</v>
      </c>
      <c r="O457" t="s">
        <v>7</v>
      </c>
      <c r="P457" t="s">
        <v>8</v>
      </c>
    </row>
    <row r="458" spans="1:16" ht="13.95" customHeight="1" x14ac:dyDescent="0.25">
      <c r="A458" s="2" t="s">
        <v>0</v>
      </c>
      <c r="B458" t="s">
        <v>1</v>
      </c>
      <c r="C458" s="3">
        <v>46276</v>
      </c>
      <c r="D458" t="s">
        <v>2</v>
      </c>
      <c r="E458" t="s">
        <v>0</v>
      </c>
      <c r="F458" s="5">
        <v>122266</v>
      </c>
      <c r="G458" s="5" t="str">
        <f>VLOOKUP(F458,'[1]46974159BCSET2026'!$F:$AE,26,0)</f>
        <v>Sim</v>
      </c>
      <c r="H458" t="s">
        <v>3</v>
      </c>
      <c r="I458" s="3">
        <v>46276</v>
      </c>
      <c r="J458" t="s">
        <v>4</v>
      </c>
      <c r="K458" t="s">
        <v>614</v>
      </c>
      <c r="L458" t="s">
        <v>615</v>
      </c>
      <c r="M458" s="8">
        <v>-275.51</v>
      </c>
      <c r="N458" t="s">
        <v>0</v>
      </c>
      <c r="O458" t="s">
        <v>7</v>
      </c>
      <c r="P458" t="s">
        <v>8</v>
      </c>
    </row>
    <row r="459" spans="1:16" ht="13.95" customHeight="1" x14ac:dyDescent="0.25">
      <c r="A459" s="2" t="s">
        <v>0</v>
      </c>
      <c r="B459" t="s">
        <v>1</v>
      </c>
      <c r="C459" s="3">
        <v>46276</v>
      </c>
      <c r="D459" t="s">
        <v>2</v>
      </c>
      <c r="E459" t="s">
        <v>0</v>
      </c>
      <c r="F459" s="5">
        <v>122588</v>
      </c>
      <c r="G459" s="5" t="str">
        <f>VLOOKUP(F459,'[1]46974159BCSET2026'!$F:$AE,26,0)</f>
        <v>Sim</v>
      </c>
      <c r="H459" t="s">
        <v>3</v>
      </c>
      <c r="I459" s="3">
        <v>46276</v>
      </c>
      <c r="J459" t="s">
        <v>4</v>
      </c>
      <c r="K459" t="s">
        <v>616</v>
      </c>
      <c r="L459" t="s">
        <v>617</v>
      </c>
      <c r="M459" s="8">
        <v>-275.18</v>
      </c>
      <c r="N459" t="s">
        <v>0</v>
      </c>
      <c r="O459" t="s">
        <v>7</v>
      </c>
      <c r="P459" t="s">
        <v>8</v>
      </c>
    </row>
    <row r="460" spans="1:16" ht="13.95" customHeight="1" x14ac:dyDescent="0.25">
      <c r="A460" s="2" t="s">
        <v>0</v>
      </c>
      <c r="B460" t="s">
        <v>1</v>
      </c>
      <c r="C460" s="3">
        <v>46276</v>
      </c>
      <c r="D460" t="s">
        <v>2</v>
      </c>
      <c r="E460" t="s">
        <v>0</v>
      </c>
      <c r="F460" s="5">
        <v>122461</v>
      </c>
      <c r="G460" s="5" t="str">
        <f>VLOOKUP(F460,'[1]46974159BCSET2026'!$F:$AE,26,0)</f>
        <v>Sim</v>
      </c>
      <c r="H460" t="s">
        <v>3</v>
      </c>
      <c r="I460" s="3">
        <v>46276</v>
      </c>
      <c r="J460" t="s">
        <v>4</v>
      </c>
      <c r="K460" t="s">
        <v>618</v>
      </c>
      <c r="L460" t="s">
        <v>619</v>
      </c>
      <c r="M460" s="8">
        <v>-275.06</v>
      </c>
      <c r="N460" t="s">
        <v>0</v>
      </c>
      <c r="O460" t="s">
        <v>7</v>
      </c>
      <c r="P460" t="s">
        <v>8</v>
      </c>
    </row>
    <row r="461" spans="1:16" ht="13.95" customHeight="1" x14ac:dyDescent="0.25">
      <c r="A461" s="2" t="s">
        <v>0</v>
      </c>
      <c r="B461" t="s">
        <v>1</v>
      </c>
      <c r="C461" s="3">
        <v>46276</v>
      </c>
      <c r="D461" t="s">
        <v>2</v>
      </c>
      <c r="E461" t="s">
        <v>0</v>
      </c>
      <c r="F461" s="5">
        <v>122274</v>
      </c>
      <c r="G461" s="5" t="str">
        <f>VLOOKUP(F461,'[1]46974159BCSET2026'!$F:$AE,26,0)</f>
        <v>Sim</v>
      </c>
      <c r="H461" t="s">
        <v>3</v>
      </c>
      <c r="I461" s="3">
        <v>46276</v>
      </c>
      <c r="J461" t="s">
        <v>4</v>
      </c>
      <c r="K461" t="s">
        <v>215</v>
      </c>
      <c r="L461" t="s">
        <v>216</v>
      </c>
      <c r="M461" s="8">
        <v>-271.74</v>
      </c>
      <c r="N461" t="s">
        <v>0</v>
      </c>
      <c r="O461" t="s">
        <v>7</v>
      </c>
      <c r="P461" t="s">
        <v>8</v>
      </c>
    </row>
    <row r="462" spans="1:16" ht="13.95" customHeight="1" x14ac:dyDescent="0.25">
      <c r="A462" s="2" t="s">
        <v>0</v>
      </c>
      <c r="B462" t="s">
        <v>1</v>
      </c>
      <c r="C462" s="3">
        <v>46276</v>
      </c>
      <c r="D462" t="s">
        <v>2</v>
      </c>
      <c r="E462" t="s">
        <v>0</v>
      </c>
      <c r="F462" s="5">
        <v>122219</v>
      </c>
      <c r="G462" s="5" t="str">
        <f>VLOOKUP(F462,'[1]46974159BCSET2026'!$F:$AE,26,0)</f>
        <v>Sim</v>
      </c>
      <c r="H462" t="s">
        <v>3</v>
      </c>
      <c r="I462" s="3">
        <v>46276</v>
      </c>
      <c r="J462" t="s">
        <v>4</v>
      </c>
      <c r="K462" t="s">
        <v>620</v>
      </c>
      <c r="L462" t="s">
        <v>621</v>
      </c>
      <c r="M462" s="8">
        <v>-269.16000000000003</v>
      </c>
      <c r="N462" t="s">
        <v>0</v>
      </c>
      <c r="O462" t="s">
        <v>7</v>
      </c>
      <c r="P462" t="s">
        <v>8</v>
      </c>
    </row>
    <row r="463" spans="1:16" ht="13.95" customHeight="1" x14ac:dyDescent="0.25">
      <c r="A463" s="2" t="s">
        <v>0</v>
      </c>
      <c r="B463" t="s">
        <v>1</v>
      </c>
      <c r="C463" s="3">
        <v>46276</v>
      </c>
      <c r="D463" t="s">
        <v>2</v>
      </c>
      <c r="E463" t="s">
        <v>0</v>
      </c>
      <c r="F463" s="5">
        <v>122271</v>
      </c>
      <c r="G463" s="5" t="str">
        <f>VLOOKUP(F463,'[1]46974159BCSET2026'!$F:$AE,26,0)</f>
        <v>Sim</v>
      </c>
      <c r="H463" t="s">
        <v>3</v>
      </c>
      <c r="I463" s="3">
        <v>46276</v>
      </c>
      <c r="J463" t="s">
        <v>4</v>
      </c>
      <c r="K463" t="s">
        <v>622</v>
      </c>
      <c r="L463" t="s">
        <v>623</v>
      </c>
      <c r="M463" s="8">
        <v>-267.17</v>
      </c>
      <c r="N463" t="s">
        <v>0</v>
      </c>
      <c r="O463" t="s">
        <v>7</v>
      </c>
      <c r="P463" t="s">
        <v>8</v>
      </c>
    </row>
    <row r="464" spans="1:16" ht="13.95" customHeight="1" x14ac:dyDescent="0.25">
      <c r="A464" s="2" t="s">
        <v>0</v>
      </c>
      <c r="B464" t="s">
        <v>1</v>
      </c>
      <c r="C464" s="3">
        <v>46276</v>
      </c>
      <c r="D464" t="s">
        <v>2</v>
      </c>
      <c r="E464" t="s">
        <v>0</v>
      </c>
      <c r="F464" s="5">
        <v>122534</v>
      </c>
      <c r="G464" s="5" t="str">
        <f>VLOOKUP(F464,'[1]46974159BCSET2026'!$F:$AE,26,0)</f>
        <v>Sim</v>
      </c>
      <c r="H464" t="s">
        <v>3</v>
      </c>
      <c r="I464" s="3">
        <v>46276</v>
      </c>
      <c r="J464" t="s">
        <v>4</v>
      </c>
      <c r="K464" t="s">
        <v>624</v>
      </c>
      <c r="L464" t="s">
        <v>625</v>
      </c>
      <c r="M464" s="8">
        <v>-266.16000000000003</v>
      </c>
      <c r="N464" t="s">
        <v>0</v>
      </c>
      <c r="O464" t="s">
        <v>7</v>
      </c>
      <c r="P464" t="s">
        <v>8</v>
      </c>
    </row>
    <row r="465" spans="1:16" ht="13.95" customHeight="1" x14ac:dyDescent="0.25">
      <c r="A465" s="2" t="s">
        <v>0</v>
      </c>
      <c r="B465" t="s">
        <v>1</v>
      </c>
      <c r="C465" s="3">
        <v>46276</v>
      </c>
      <c r="D465" t="s">
        <v>2</v>
      </c>
      <c r="E465" t="s">
        <v>0</v>
      </c>
      <c r="F465" s="5">
        <v>122669</v>
      </c>
      <c r="G465" s="5" t="str">
        <f>VLOOKUP(F465,'[1]46974159BCSET2026'!$F:$AE,26,0)</f>
        <v>Sim</v>
      </c>
      <c r="H465" t="s">
        <v>3</v>
      </c>
      <c r="I465" s="3">
        <v>46276</v>
      </c>
      <c r="J465" t="s">
        <v>4</v>
      </c>
      <c r="K465" t="s">
        <v>195</v>
      </c>
      <c r="L465" t="s">
        <v>196</v>
      </c>
      <c r="M465" s="8">
        <v>-265.88</v>
      </c>
      <c r="N465" t="s">
        <v>0</v>
      </c>
      <c r="O465" t="s">
        <v>7</v>
      </c>
      <c r="P465" t="s">
        <v>8</v>
      </c>
    </row>
    <row r="466" spans="1:16" ht="13.95" customHeight="1" x14ac:dyDescent="0.25">
      <c r="A466" s="2" t="s">
        <v>0</v>
      </c>
      <c r="B466" t="s">
        <v>1</v>
      </c>
      <c r="C466" s="3">
        <v>46276</v>
      </c>
      <c r="D466" t="s">
        <v>2</v>
      </c>
      <c r="E466" t="s">
        <v>0</v>
      </c>
      <c r="F466" s="5">
        <v>122732</v>
      </c>
      <c r="G466" s="5" t="str">
        <f>VLOOKUP(F466,'[1]46974159BCSET2026'!$F:$AE,26,0)</f>
        <v>Sim</v>
      </c>
      <c r="H466" t="s">
        <v>3</v>
      </c>
      <c r="I466" s="3">
        <v>46276</v>
      </c>
      <c r="J466" t="s">
        <v>4</v>
      </c>
      <c r="K466" t="s">
        <v>626</v>
      </c>
      <c r="L466" t="s">
        <v>627</v>
      </c>
      <c r="M466" s="8">
        <v>-264.49</v>
      </c>
      <c r="N466" t="s">
        <v>0</v>
      </c>
      <c r="O466" t="s">
        <v>7</v>
      </c>
      <c r="P466" t="s">
        <v>8</v>
      </c>
    </row>
    <row r="467" spans="1:16" ht="13.95" customHeight="1" x14ac:dyDescent="0.25">
      <c r="A467" s="2" t="s">
        <v>0</v>
      </c>
      <c r="B467" t="s">
        <v>1</v>
      </c>
      <c r="C467" s="3">
        <v>46276</v>
      </c>
      <c r="D467" t="s">
        <v>2</v>
      </c>
      <c r="E467" t="s">
        <v>0</v>
      </c>
      <c r="F467" s="5">
        <v>122293</v>
      </c>
      <c r="G467" s="5" t="str">
        <f>VLOOKUP(F467,'[1]46974159BCSET2026'!$F:$AE,26,0)</f>
        <v>Sim</v>
      </c>
      <c r="H467" t="s">
        <v>3</v>
      </c>
      <c r="I467" s="3">
        <v>46276</v>
      </c>
      <c r="J467" t="s">
        <v>4</v>
      </c>
      <c r="K467" t="s">
        <v>628</v>
      </c>
      <c r="L467" t="s">
        <v>629</v>
      </c>
      <c r="M467" s="8">
        <v>-263.74</v>
      </c>
      <c r="N467" t="s">
        <v>0</v>
      </c>
      <c r="O467" t="s">
        <v>7</v>
      </c>
      <c r="P467" t="s">
        <v>8</v>
      </c>
    </row>
    <row r="468" spans="1:16" ht="13.95" customHeight="1" x14ac:dyDescent="0.25">
      <c r="A468" s="2" t="s">
        <v>0</v>
      </c>
      <c r="B468" t="s">
        <v>1</v>
      </c>
      <c r="C468" s="3">
        <v>46276</v>
      </c>
      <c r="D468" t="s">
        <v>2</v>
      </c>
      <c r="E468" t="s">
        <v>0</v>
      </c>
      <c r="F468" s="5">
        <v>122298</v>
      </c>
      <c r="G468" s="5" t="str">
        <f>VLOOKUP(F468,'[1]46974159BCSET2026'!$F:$AE,26,0)</f>
        <v>Sim</v>
      </c>
      <c r="H468" t="s">
        <v>3</v>
      </c>
      <c r="I468" s="3">
        <v>46276</v>
      </c>
      <c r="J468" t="s">
        <v>4</v>
      </c>
      <c r="K468" t="s">
        <v>630</v>
      </c>
      <c r="L468" t="s">
        <v>631</v>
      </c>
      <c r="M468" s="8">
        <v>-262.58</v>
      </c>
      <c r="N468" t="s">
        <v>0</v>
      </c>
      <c r="O468" t="s">
        <v>7</v>
      </c>
      <c r="P468" t="s">
        <v>8</v>
      </c>
    </row>
    <row r="469" spans="1:16" ht="13.95" customHeight="1" x14ac:dyDescent="0.25">
      <c r="A469" s="2" t="s">
        <v>0</v>
      </c>
      <c r="B469" t="s">
        <v>1</v>
      </c>
      <c r="C469" s="3">
        <v>46276</v>
      </c>
      <c r="D469" t="s">
        <v>2</v>
      </c>
      <c r="E469" t="s">
        <v>0</v>
      </c>
      <c r="F469" s="5">
        <v>122280</v>
      </c>
      <c r="G469" s="5" t="str">
        <f>VLOOKUP(F469,'[1]46974159BCSET2026'!$F:$AE,26,0)</f>
        <v>Sim</v>
      </c>
      <c r="H469" t="s">
        <v>3</v>
      </c>
      <c r="I469" s="3">
        <v>46276</v>
      </c>
      <c r="J469" t="s">
        <v>4</v>
      </c>
      <c r="K469" t="s">
        <v>632</v>
      </c>
      <c r="L469" t="s">
        <v>633</v>
      </c>
      <c r="M469" s="8">
        <v>-261.66000000000003</v>
      </c>
      <c r="N469" t="s">
        <v>0</v>
      </c>
      <c r="O469" t="s">
        <v>7</v>
      </c>
      <c r="P469" t="s">
        <v>8</v>
      </c>
    </row>
    <row r="470" spans="1:16" ht="13.95" customHeight="1" x14ac:dyDescent="0.25">
      <c r="A470" s="2" t="s">
        <v>0</v>
      </c>
      <c r="B470" t="s">
        <v>1</v>
      </c>
      <c r="C470" s="3">
        <v>46276</v>
      </c>
      <c r="D470" t="s">
        <v>2</v>
      </c>
      <c r="E470" t="s">
        <v>0</v>
      </c>
      <c r="F470" s="5">
        <v>122715</v>
      </c>
      <c r="G470" s="5" t="str">
        <f>VLOOKUP(F470,'[1]46974159BCSET2026'!$F:$AE,26,0)</f>
        <v>Sim</v>
      </c>
      <c r="H470" t="s">
        <v>3</v>
      </c>
      <c r="I470" s="3">
        <v>46276</v>
      </c>
      <c r="J470" t="s">
        <v>4</v>
      </c>
      <c r="K470" t="s">
        <v>634</v>
      </c>
      <c r="L470" t="s">
        <v>635</v>
      </c>
      <c r="M470" s="8">
        <v>-256.64999999999998</v>
      </c>
      <c r="N470" t="s">
        <v>0</v>
      </c>
      <c r="O470" t="s">
        <v>7</v>
      </c>
      <c r="P470" t="s">
        <v>8</v>
      </c>
    </row>
    <row r="471" spans="1:16" ht="13.95" customHeight="1" x14ac:dyDescent="0.25">
      <c r="A471" s="2" t="s">
        <v>0</v>
      </c>
      <c r="B471" t="s">
        <v>1</v>
      </c>
      <c r="C471" s="3">
        <v>46276</v>
      </c>
      <c r="D471" t="s">
        <v>2</v>
      </c>
      <c r="E471" t="s">
        <v>0</v>
      </c>
      <c r="F471" s="5">
        <v>122290</v>
      </c>
      <c r="G471" s="5" t="str">
        <f>VLOOKUP(F471,'[1]46974159BCSET2026'!$F:$AE,26,0)</f>
        <v>Sim</v>
      </c>
      <c r="H471" t="s">
        <v>3</v>
      </c>
      <c r="I471" s="3">
        <v>46276</v>
      </c>
      <c r="J471" t="s">
        <v>4</v>
      </c>
      <c r="K471" t="s">
        <v>636</v>
      </c>
      <c r="L471" t="s">
        <v>637</v>
      </c>
      <c r="M471" s="8">
        <v>-256.19</v>
      </c>
      <c r="N471" t="s">
        <v>0</v>
      </c>
      <c r="O471" t="s">
        <v>7</v>
      </c>
      <c r="P471" t="s">
        <v>8</v>
      </c>
    </row>
    <row r="472" spans="1:16" ht="13.95" customHeight="1" x14ac:dyDescent="0.25">
      <c r="A472" s="2" t="s">
        <v>0</v>
      </c>
      <c r="B472" t="s">
        <v>1</v>
      </c>
      <c r="C472" s="3">
        <v>46276</v>
      </c>
      <c r="D472" t="s">
        <v>2</v>
      </c>
      <c r="E472" t="s">
        <v>0</v>
      </c>
      <c r="F472" s="5">
        <v>122336</v>
      </c>
      <c r="G472" s="5" t="str">
        <f>VLOOKUP(F472,'[1]46974159BCSET2026'!$F:$AE,26,0)</f>
        <v>Sim</v>
      </c>
      <c r="H472" t="s">
        <v>3</v>
      </c>
      <c r="I472" s="3">
        <v>46276</v>
      </c>
      <c r="J472" t="s">
        <v>4</v>
      </c>
      <c r="K472" t="s">
        <v>638</v>
      </c>
      <c r="L472" t="s">
        <v>639</v>
      </c>
      <c r="M472" s="8">
        <v>-255.04</v>
      </c>
      <c r="N472" t="s">
        <v>0</v>
      </c>
      <c r="O472" t="s">
        <v>7</v>
      </c>
      <c r="P472" t="s">
        <v>8</v>
      </c>
    </row>
    <row r="473" spans="1:16" ht="13.95" customHeight="1" x14ac:dyDescent="0.25">
      <c r="A473" s="2" t="s">
        <v>0</v>
      </c>
      <c r="B473" t="s">
        <v>1</v>
      </c>
      <c r="C473" s="3">
        <v>46276</v>
      </c>
      <c r="D473" t="s">
        <v>2</v>
      </c>
      <c r="E473" t="s">
        <v>0</v>
      </c>
      <c r="F473" s="5">
        <v>122749</v>
      </c>
      <c r="G473" s="5" t="str">
        <f>VLOOKUP(F473,'[1]46974159BCSET2026'!$F:$AE,26,0)</f>
        <v>Sim</v>
      </c>
      <c r="H473" t="s">
        <v>3</v>
      </c>
      <c r="I473" s="3">
        <v>46276</v>
      </c>
      <c r="J473" t="s">
        <v>4</v>
      </c>
      <c r="K473" t="s">
        <v>640</v>
      </c>
      <c r="L473" t="s">
        <v>641</v>
      </c>
      <c r="M473" s="8">
        <v>-253.68</v>
      </c>
      <c r="N473" t="s">
        <v>0</v>
      </c>
      <c r="O473" t="s">
        <v>7</v>
      </c>
      <c r="P473" t="s">
        <v>8</v>
      </c>
    </row>
    <row r="474" spans="1:16" ht="13.95" customHeight="1" x14ac:dyDescent="0.25">
      <c r="A474" s="2" t="s">
        <v>0</v>
      </c>
      <c r="B474" t="s">
        <v>1</v>
      </c>
      <c r="C474" s="3">
        <v>46276</v>
      </c>
      <c r="D474" t="s">
        <v>2</v>
      </c>
      <c r="E474" t="s">
        <v>0</v>
      </c>
      <c r="F474" s="5">
        <v>122572</v>
      </c>
      <c r="G474" s="5" t="str">
        <f>VLOOKUP(F474,'[1]46974159BCSET2026'!$F:$AE,26,0)</f>
        <v>Sim</v>
      </c>
      <c r="H474" t="s">
        <v>3</v>
      </c>
      <c r="I474" s="3">
        <v>46276</v>
      </c>
      <c r="J474" t="s">
        <v>4</v>
      </c>
      <c r="K474" t="s">
        <v>642</v>
      </c>
      <c r="L474" t="s">
        <v>643</v>
      </c>
      <c r="M474" s="8">
        <v>-251.95</v>
      </c>
      <c r="N474" t="s">
        <v>0</v>
      </c>
      <c r="O474" t="s">
        <v>7</v>
      </c>
      <c r="P474" t="s">
        <v>8</v>
      </c>
    </row>
    <row r="475" spans="1:16" ht="13.95" customHeight="1" x14ac:dyDescent="0.25">
      <c r="A475" s="2" t="s">
        <v>0</v>
      </c>
      <c r="B475" t="s">
        <v>1</v>
      </c>
      <c r="C475" s="3">
        <v>46276</v>
      </c>
      <c r="D475" t="s">
        <v>2</v>
      </c>
      <c r="E475" t="s">
        <v>0</v>
      </c>
      <c r="F475" s="5">
        <v>122704</v>
      </c>
      <c r="G475" s="5" t="str">
        <f>VLOOKUP(F475,'[1]46974159BCSET2026'!$F:$AE,26,0)</f>
        <v>Sim</v>
      </c>
      <c r="H475" t="s">
        <v>3</v>
      </c>
      <c r="I475" s="3">
        <v>46276</v>
      </c>
      <c r="J475" t="s">
        <v>4</v>
      </c>
      <c r="K475" t="s">
        <v>644</v>
      </c>
      <c r="L475" t="s">
        <v>645</v>
      </c>
      <c r="M475" s="8">
        <v>-251.63</v>
      </c>
      <c r="N475" t="s">
        <v>0</v>
      </c>
      <c r="O475" t="s">
        <v>7</v>
      </c>
      <c r="P475" t="s">
        <v>8</v>
      </c>
    </row>
    <row r="476" spans="1:16" ht="13.95" customHeight="1" x14ac:dyDescent="0.25">
      <c r="A476" s="2" t="s">
        <v>0</v>
      </c>
      <c r="B476" t="s">
        <v>1</v>
      </c>
      <c r="C476" s="3">
        <v>46276</v>
      </c>
      <c r="D476" t="s">
        <v>2</v>
      </c>
      <c r="E476" t="s">
        <v>0</v>
      </c>
      <c r="F476" s="5">
        <v>122689</v>
      </c>
      <c r="G476" s="5" t="str">
        <f>VLOOKUP(F476,'[1]46974159BCSET2026'!$F:$AE,26,0)</f>
        <v>Sim</v>
      </c>
      <c r="H476" t="s">
        <v>3</v>
      </c>
      <c r="I476" s="3">
        <v>46276</v>
      </c>
      <c r="J476" t="s">
        <v>4</v>
      </c>
      <c r="K476" t="s">
        <v>646</v>
      </c>
      <c r="L476" t="s">
        <v>647</v>
      </c>
      <c r="M476" s="8">
        <v>-251.31</v>
      </c>
      <c r="N476" t="s">
        <v>0</v>
      </c>
      <c r="O476" t="s">
        <v>7</v>
      </c>
      <c r="P476" t="s">
        <v>8</v>
      </c>
    </row>
    <row r="477" spans="1:16" ht="13.95" customHeight="1" x14ac:dyDescent="0.25">
      <c r="A477" s="2" t="s">
        <v>0</v>
      </c>
      <c r="B477" t="s">
        <v>1</v>
      </c>
      <c r="C477" s="3">
        <v>46276</v>
      </c>
      <c r="D477" t="s">
        <v>2</v>
      </c>
      <c r="E477" t="s">
        <v>0</v>
      </c>
      <c r="F477" s="5">
        <v>122345</v>
      </c>
      <c r="G477" s="5" t="str">
        <f>VLOOKUP(F477,'[1]46974159BCSET2026'!$F:$AE,26,0)</f>
        <v>Sim</v>
      </c>
      <c r="H477" t="s">
        <v>3</v>
      </c>
      <c r="I477" s="3">
        <v>46276</v>
      </c>
      <c r="J477" t="s">
        <v>4</v>
      </c>
      <c r="K477" t="s">
        <v>648</v>
      </c>
      <c r="L477" t="s">
        <v>649</v>
      </c>
      <c r="M477" s="8">
        <v>-251.02</v>
      </c>
      <c r="N477" t="s">
        <v>0</v>
      </c>
      <c r="O477" t="s">
        <v>7</v>
      </c>
      <c r="P477" t="s">
        <v>8</v>
      </c>
    </row>
    <row r="478" spans="1:16" ht="13.95" customHeight="1" x14ac:dyDescent="0.25">
      <c r="A478" s="2" t="s">
        <v>0</v>
      </c>
      <c r="B478" t="s">
        <v>1</v>
      </c>
      <c r="C478" s="3">
        <v>46276</v>
      </c>
      <c r="D478" t="s">
        <v>2</v>
      </c>
      <c r="E478" t="s">
        <v>0</v>
      </c>
      <c r="F478" s="5">
        <v>122656</v>
      </c>
      <c r="G478" s="5" t="str">
        <f>VLOOKUP(F478,'[1]46974159BCSET2026'!$F:$AE,26,0)</f>
        <v>Sim</v>
      </c>
      <c r="H478" t="s">
        <v>3</v>
      </c>
      <c r="I478" s="3">
        <v>46276</v>
      </c>
      <c r="J478" t="s">
        <v>4</v>
      </c>
      <c r="K478" t="s">
        <v>211</v>
      </c>
      <c r="L478" t="s">
        <v>212</v>
      </c>
      <c r="M478" s="8">
        <v>-250.71</v>
      </c>
      <c r="N478" t="s">
        <v>0</v>
      </c>
      <c r="O478" t="s">
        <v>7</v>
      </c>
      <c r="P478" t="s">
        <v>8</v>
      </c>
    </row>
    <row r="479" spans="1:16" ht="13.95" customHeight="1" x14ac:dyDescent="0.25">
      <c r="A479" s="2" t="s">
        <v>0</v>
      </c>
      <c r="B479" t="s">
        <v>1</v>
      </c>
      <c r="C479" s="3">
        <v>46276</v>
      </c>
      <c r="D479" t="s">
        <v>2</v>
      </c>
      <c r="E479" t="s">
        <v>0</v>
      </c>
      <c r="F479" s="5">
        <v>122716</v>
      </c>
      <c r="G479" s="5" t="str">
        <f>VLOOKUP(F479,'[1]46974159BCSET2026'!$F:$AE,26,0)</f>
        <v>Sim</v>
      </c>
      <c r="H479" t="s">
        <v>3</v>
      </c>
      <c r="I479" s="3">
        <v>46276</v>
      </c>
      <c r="J479" t="s">
        <v>4</v>
      </c>
      <c r="K479" t="s">
        <v>650</v>
      </c>
      <c r="L479" t="s">
        <v>651</v>
      </c>
      <c r="M479" s="8">
        <v>-248.82</v>
      </c>
      <c r="N479" t="s">
        <v>0</v>
      </c>
      <c r="O479" t="s">
        <v>7</v>
      </c>
      <c r="P479" t="s">
        <v>8</v>
      </c>
    </row>
    <row r="480" spans="1:16" ht="13.95" customHeight="1" x14ac:dyDescent="0.25">
      <c r="A480" s="2" t="s">
        <v>0</v>
      </c>
      <c r="B480" t="s">
        <v>1</v>
      </c>
      <c r="C480" s="3">
        <v>46276</v>
      </c>
      <c r="D480" t="s">
        <v>2</v>
      </c>
      <c r="E480" t="s">
        <v>0</v>
      </c>
      <c r="F480" s="5">
        <v>122289</v>
      </c>
      <c r="G480" s="5" t="str">
        <f>VLOOKUP(F480,'[1]46974159BCSET2026'!$F:$AE,26,0)</f>
        <v>Sim</v>
      </c>
      <c r="H480" t="s">
        <v>3</v>
      </c>
      <c r="I480" s="3">
        <v>46276</v>
      </c>
      <c r="J480" t="s">
        <v>4</v>
      </c>
      <c r="K480" t="s">
        <v>652</v>
      </c>
      <c r="L480" t="s">
        <v>653</v>
      </c>
      <c r="M480" s="8">
        <v>-246.17</v>
      </c>
      <c r="N480" t="s">
        <v>0</v>
      </c>
      <c r="O480" t="s">
        <v>7</v>
      </c>
      <c r="P480" t="s">
        <v>8</v>
      </c>
    </row>
    <row r="481" spans="1:16" ht="13.95" customHeight="1" x14ac:dyDescent="0.25">
      <c r="A481" s="2" t="s">
        <v>0</v>
      </c>
      <c r="B481" t="s">
        <v>1</v>
      </c>
      <c r="C481" s="3">
        <v>46276</v>
      </c>
      <c r="D481" t="s">
        <v>2</v>
      </c>
      <c r="E481" t="s">
        <v>0</v>
      </c>
      <c r="F481" s="5">
        <v>122708</v>
      </c>
      <c r="G481" s="5" t="str">
        <f>VLOOKUP(F481,'[1]46974159BCSET2026'!$F:$AE,26,0)</f>
        <v>Sim</v>
      </c>
      <c r="H481" t="s">
        <v>3</v>
      </c>
      <c r="I481" s="3">
        <v>46276</v>
      </c>
      <c r="J481" t="s">
        <v>4</v>
      </c>
      <c r="K481" t="s">
        <v>654</v>
      </c>
      <c r="L481" t="s">
        <v>655</v>
      </c>
      <c r="M481" s="8">
        <v>-241.36</v>
      </c>
      <c r="N481" t="s">
        <v>0</v>
      </c>
      <c r="O481" t="s">
        <v>7</v>
      </c>
      <c r="P481" t="s">
        <v>8</v>
      </c>
    </row>
    <row r="482" spans="1:16" ht="13.95" customHeight="1" x14ac:dyDescent="0.25">
      <c r="A482" s="2" t="s">
        <v>0</v>
      </c>
      <c r="B482" t="s">
        <v>1</v>
      </c>
      <c r="C482" s="3">
        <v>46276</v>
      </c>
      <c r="D482" t="s">
        <v>2</v>
      </c>
      <c r="E482" t="s">
        <v>0</v>
      </c>
      <c r="F482" s="5">
        <v>122234</v>
      </c>
      <c r="G482" s="5" t="str">
        <f>VLOOKUP(F482,'[1]46974159BCSET2026'!$F:$AE,26,0)</f>
        <v>Sim</v>
      </c>
      <c r="H482" t="s">
        <v>3</v>
      </c>
      <c r="I482" s="3">
        <v>46276</v>
      </c>
      <c r="J482" t="s">
        <v>4</v>
      </c>
      <c r="K482" t="s">
        <v>656</v>
      </c>
      <c r="L482" t="s">
        <v>657</v>
      </c>
      <c r="M482" s="8">
        <v>-239.77</v>
      </c>
      <c r="N482" t="s">
        <v>0</v>
      </c>
      <c r="O482" t="s">
        <v>7</v>
      </c>
      <c r="P482" t="s">
        <v>8</v>
      </c>
    </row>
    <row r="483" spans="1:16" ht="13.95" customHeight="1" x14ac:dyDescent="0.25">
      <c r="A483" s="2" t="s">
        <v>0</v>
      </c>
      <c r="B483" t="s">
        <v>1</v>
      </c>
      <c r="C483" s="3">
        <v>46276</v>
      </c>
      <c r="D483" t="s">
        <v>2</v>
      </c>
      <c r="E483" t="s">
        <v>0</v>
      </c>
      <c r="F483" s="5">
        <v>122529</v>
      </c>
      <c r="G483" s="5" t="str">
        <f>VLOOKUP(F483,'[1]46974159BCSET2026'!$F:$AE,26,0)</f>
        <v>Sim</v>
      </c>
      <c r="H483" t="s">
        <v>3</v>
      </c>
      <c r="I483" s="3">
        <v>46276</v>
      </c>
      <c r="J483" t="s">
        <v>4</v>
      </c>
      <c r="K483" t="s">
        <v>658</v>
      </c>
      <c r="L483" t="s">
        <v>659</v>
      </c>
      <c r="M483" s="8">
        <v>-239.09</v>
      </c>
      <c r="N483" t="s">
        <v>0</v>
      </c>
      <c r="O483" t="s">
        <v>7</v>
      </c>
      <c r="P483" t="s">
        <v>8</v>
      </c>
    </row>
    <row r="484" spans="1:16" ht="13.95" customHeight="1" x14ac:dyDescent="0.25">
      <c r="A484" s="2" t="s">
        <v>0</v>
      </c>
      <c r="B484" t="s">
        <v>1</v>
      </c>
      <c r="C484" s="3">
        <v>46281</v>
      </c>
      <c r="D484" t="s">
        <v>549</v>
      </c>
      <c r="E484" t="s">
        <v>0</v>
      </c>
      <c r="F484" s="5">
        <v>122812</v>
      </c>
      <c r="G484" s="5" t="str">
        <f>VLOOKUP(F484,'[1]46974159BCSET2026'!$F:$AE,26,0)</f>
        <v>Sim</v>
      </c>
      <c r="H484" t="s">
        <v>3</v>
      </c>
      <c r="I484" s="3">
        <v>46281</v>
      </c>
      <c r="J484" t="s">
        <v>4</v>
      </c>
      <c r="K484" t="s">
        <v>660</v>
      </c>
      <c r="L484" t="s">
        <v>661</v>
      </c>
      <c r="M484" s="8">
        <v>-238.57</v>
      </c>
      <c r="N484" t="s">
        <v>0</v>
      </c>
      <c r="O484" t="s">
        <v>7</v>
      </c>
      <c r="P484" t="s">
        <v>8</v>
      </c>
    </row>
    <row r="485" spans="1:16" ht="13.95" customHeight="1" x14ac:dyDescent="0.25">
      <c r="A485" s="2" t="s">
        <v>0</v>
      </c>
      <c r="B485" t="s">
        <v>1</v>
      </c>
      <c r="C485" s="3">
        <v>46276</v>
      </c>
      <c r="D485" t="s">
        <v>2</v>
      </c>
      <c r="E485" t="s">
        <v>0</v>
      </c>
      <c r="F485" s="5">
        <v>122654</v>
      </c>
      <c r="G485" s="5" t="str">
        <f>VLOOKUP(F485,'[1]46974159BCSET2026'!$F:$AE,26,0)</f>
        <v>Sim</v>
      </c>
      <c r="H485" t="s">
        <v>3</v>
      </c>
      <c r="I485" s="3">
        <v>46276</v>
      </c>
      <c r="J485" t="s">
        <v>4</v>
      </c>
      <c r="K485" t="s">
        <v>662</v>
      </c>
      <c r="L485" t="s">
        <v>663</v>
      </c>
      <c r="M485" s="8">
        <v>-238.22</v>
      </c>
      <c r="N485" t="s">
        <v>0</v>
      </c>
      <c r="O485" t="s">
        <v>7</v>
      </c>
      <c r="P485" t="s">
        <v>8</v>
      </c>
    </row>
    <row r="486" spans="1:16" ht="13.95" customHeight="1" x14ac:dyDescent="0.25">
      <c r="A486" s="2" t="s">
        <v>0</v>
      </c>
      <c r="B486" t="s">
        <v>1</v>
      </c>
      <c r="C486" s="3">
        <v>46276</v>
      </c>
      <c r="D486" t="s">
        <v>2</v>
      </c>
      <c r="E486" t="s">
        <v>0</v>
      </c>
      <c r="F486" s="5">
        <v>122668</v>
      </c>
      <c r="G486" s="5" t="str">
        <f>VLOOKUP(F486,'[1]46974159BCSET2026'!$F:$AE,26,0)</f>
        <v>Sim</v>
      </c>
      <c r="H486" t="s">
        <v>3</v>
      </c>
      <c r="I486" s="3">
        <v>46276</v>
      </c>
      <c r="J486" t="s">
        <v>4</v>
      </c>
      <c r="K486" t="s">
        <v>163</v>
      </c>
      <c r="L486" t="s">
        <v>164</v>
      </c>
      <c r="M486" s="8">
        <v>-235.15</v>
      </c>
      <c r="N486" t="s">
        <v>0</v>
      </c>
      <c r="O486" t="s">
        <v>7</v>
      </c>
      <c r="P486" t="s">
        <v>8</v>
      </c>
    </row>
    <row r="487" spans="1:16" ht="13.95" customHeight="1" x14ac:dyDescent="0.25">
      <c r="A487" s="2" t="s">
        <v>0</v>
      </c>
      <c r="B487" t="s">
        <v>1</v>
      </c>
      <c r="C487" s="3">
        <v>46276</v>
      </c>
      <c r="D487" t="s">
        <v>2</v>
      </c>
      <c r="E487" t="s">
        <v>0</v>
      </c>
      <c r="F487" s="5">
        <v>122514</v>
      </c>
      <c r="G487" s="5" t="str">
        <f>VLOOKUP(F487,'[1]46974159BCSET2026'!$F:$AE,26,0)</f>
        <v>Sim</v>
      </c>
      <c r="H487" t="s">
        <v>3</v>
      </c>
      <c r="I487" s="3">
        <v>46276</v>
      </c>
      <c r="J487" t="s">
        <v>4</v>
      </c>
      <c r="K487" t="s">
        <v>664</v>
      </c>
      <c r="L487" t="s">
        <v>665</v>
      </c>
      <c r="M487" s="8">
        <v>-234.18</v>
      </c>
      <c r="N487" t="s">
        <v>0</v>
      </c>
      <c r="O487" t="s">
        <v>7</v>
      </c>
      <c r="P487" t="s">
        <v>8</v>
      </c>
    </row>
    <row r="488" spans="1:16" ht="13.95" customHeight="1" x14ac:dyDescent="0.25">
      <c r="A488" s="2" t="s">
        <v>0</v>
      </c>
      <c r="B488" t="s">
        <v>1</v>
      </c>
      <c r="C488" s="3">
        <v>46276</v>
      </c>
      <c r="D488" t="s">
        <v>2</v>
      </c>
      <c r="E488" t="s">
        <v>0</v>
      </c>
      <c r="F488" s="5">
        <v>122292</v>
      </c>
      <c r="G488" s="5" t="str">
        <f>VLOOKUP(F488,'[1]46974159BCSET2026'!$F:$AE,26,0)</f>
        <v>Sim</v>
      </c>
      <c r="H488" t="s">
        <v>3</v>
      </c>
      <c r="I488" s="3">
        <v>46276</v>
      </c>
      <c r="J488" t="s">
        <v>4</v>
      </c>
      <c r="K488" t="s">
        <v>666</v>
      </c>
      <c r="L488" t="s">
        <v>667</v>
      </c>
      <c r="M488" s="8">
        <v>-232.89</v>
      </c>
      <c r="N488" t="s">
        <v>0</v>
      </c>
      <c r="O488" t="s">
        <v>7</v>
      </c>
      <c r="P488" t="s">
        <v>8</v>
      </c>
    </row>
    <row r="489" spans="1:16" ht="13.95" customHeight="1" x14ac:dyDescent="0.25">
      <c r="A489" s="2" t="s">
        <v>0</v>
      </c>
      <c r="B489" t="s">
        <v>1</v>
      </c>
      <c r="C489" s="3">
        <v>46276</v>
      </c>
      <c r="D489" t="s">
        <v>2</v>
      </c>
      <c r="E489" t="s">
        <v>0</v>
      </c>
      <c r="F489" s="5">
        <v>122331</v>
      </c>
      <c r="G489" s="5" t="str">
        <f>VLOOKUP(F489,'[1]46974159BCSET2026'!$F:$AE,26,0)</f>
        <v>Sim</v>
      </c>
      <c r="H489" t="s">
        <v>3</v>
      </c>
      <c r="I489" s="3">
        <v>46276</v>
      </c>
      <c r="J489" t="s">
        <v>4</v>
      </c>
      <c r="K489" t="s">
        <v>668</v>
      </c>
      <c r="L489" t="s">
        <v>669</v>
      </c>
      <c r="M489" s="8">
        <v>-231.19</v>
      </c>
      <c r="N489" t="s">
        <v>0</v>
      </c>
      <c r="O489" t="s">
        <v>7</v>
      </c>
      <c r="P489" t="s">
        <v>8</v>
      </c>
    </row>
    <row r="490" spans="1:16" ht="13.95" customHeight="1" x14ac:dyDescent="0.25">
      <c r="A490" s="2" t="s">
        <v>0</v>
      </c>
      <c r="B490" t="s">
        <v>1</v>
      </c>
      <c r="C490" s="3">
        <v>46276</v>
      </c>
      <c r="D490" t="s">
        <v>2</v>
      </c>
      <c r="E490" t="s">
        <v>0</v>
      </c>
      <c r="F490" s="5">
        <v>122303</v>
      </c>
      <c r="G490" s="5" t="str">
        <f>VLOOKUP(F490,'[1]46974159BCSET2026'!$F:$AE,26,0)</f>
        <v>Sim</v>
      </c>
      <c r="H490" t="s">
        <v>3</v>
      </c>
      <c r="I490" s="3">
        <v>46276</v>
      </c>
      <c r="J490" t="s">
        <v>4</v>
      </c>
      <c r="K490" t="s">
        <v>670</v>
      </c>
      <c r="L490" t="s">
        <v>671</v>
      </c>
      <c r="M490" s="8">
        <v>-230.36</v>
      </c>
      <c r="N490" t="s">
        <v>0</v>
      </c>
      <c r="O490" t="s">
        <v>7</v>
      </c>
      <c r="P490" t="s">
        <v>8</v>
      </c>
    </row>
    <row r="491" spans="1:16" ht="13.95" customHeight="1" x14ac:dyDescent="0.25">
      <c r="A491" s="2" t="s">
        <v>0</v>
      </c>
      <c r="B491" t="s">
        <v>1</v>
      </c>
      <c r="C491" s="3">
        <v>46276</v>
      </c>
      <c r="D491" t="s">
        <v>2</v>
      </c>
      <c r="E491" t="s">
        <v>0</v>
      </c>
      <c r="F491" s="5">
        <v>122302</v>
      </c>
      <c r="G491" s="5" t="str">
        <f>VLOOKUP(F491,'[1]46974159BCSET2026'!$F:$AE,26,0)</f>
        <v>Sim</v>
      </c>
      <c r="H491" t="s">
        <v>3</v>
      </c>
      <c r="I491" s="3">
        <v>46276</v>
      </c>
      <c r="J491" t="s">
        <v>4</v>
      </c>
      <c r="K491" t="s">
        <v>672</v>
      </c>
      <c r="L491" t="s">
        <v>673</v>
      </c>
      <c r="M491" s="8">
        <v>-230.27</v>
      </c>
      <c r="N491" t="s">
        <v>0</v>
      </c>
      <c r="O491" t="s">
        <v>7</v>
      </c>
      <c r="P491" t="s">
        <v>8</v>
      </c>
    </row>
    <row r="492" spans="1:16" ht="13.95" customHeight="1" x14ac:dyDescent="0.25">
      <c r="A492" s="2" t="s">
        <v>0</v>
      </c>
      <c r="B492" t="s">
        <v>1</v>
      </c>
      <c r="C492" s="3">
        <v>46276</v>
      </c>
      <c r="D492" t="s">
        <v>2</v>
      </c>
      <c r="E492" t="s">
        <v>0</v>
      </c>
      <c r="F492" s="5">
        <v>122712</v>
      </c>
      <c r="G492" s="5" t="str">
        <f>VLOOKUP(F492,'[1]46974159BCSET2026'!$F:$AE,26,0)</f>
        <v>Sim</v>
      </c>
      <c r="H492" t="s">
        <v>3</v>
      </c>
      <c r="I492" s="3">
        <v>46276</v>
      </c>
      <c r="J492" t="s">
        <v>4</v>
      </c>
      <c r="K492" t="s">
        <v>674</v>
      </c>
      <c r="L492" t="s">
        <v>675</v>
      </c>
      <c r="M492" s="8">
        <v>-229.43</v>
      </c>
      <c r="N492" t="s">
        <v>0</v>
      </c>
      <c r="O492" t="s">
        <v>7</v>
      </c>
      <c r="P492" t="s">
        <v>8</v>
      </c>
    </row>
    <row r="493" spans="1:16" ht="13.95" customHeight="1" x14ac:dyDescent="0.25">
      <c r="A493" s="2" t="s">
        <v>0</v>
      </c>
      <c r="B493" t="s">
        <v>1</v>
      </c>
      <c r="C493" s="3">
        <v>46276</v>
      </c>
      <c r="D493" t="s">
        <v>2</v>
      </c>
      <c r="E493" t="s">
        <v>0</v>
      </c>
      <c r="F493" s="5">
        <v>122466</v>
      </c>
      <c r="G493" s="5" t="str">
        <f>VLOOKUP(F493,'[1]46974159BCSET2026'!$F:$AE,26,0)</f>
        <v>Sim</v>
      </c>
      <c r="H493" t="s">
        <v>3</v>
      </c>
      <c r="I493" s="3">
        <v>46276</v>
      </c>
      <c r="J493" t="s">
        <v>4</v>
      </c>
      <c r="K493" t="s">
        <v>676</v>
      </c>
      <c r="L493" t="s">
        <v>677</v>
      </c>
      <c r="M493" s="8">
        <v>-227</v>
      </c>
      <c r="N493" t="s">
        <v>0</v>
      </c>
      <c r="O493" t="s">
        <v>7</v>
      </c>
      <c r="P493" t="s">
        <v>8</v>
      </c>
    </row>
    <row r="494" spans="1:16" ht="13.95" customHeight="1" x14ac:dyDescent="0.25">
      <c r="A494" s="2" t="s">
        <v>0</v>
      </c>
      <c r="B494" t="s">
        <v>1</v>
      </c>
      <c r="C494" s="3">
        <v>46276</v>
      </c>
      <c r="D494" t="s">
        <v>2</v>
      </c>
      <c r="E494" t="s">
        <v>0</v>
      </c>
      <c r="F494" s="5">
        <v>122393</v>
      </c>
      <c r="G494" s="5" t="str">
        <f>VLOOKUP(F494,'[1]46974159BCSET2026'!$F:$AE,26,0)</f>
        <v>Sim</v>
      </c>
      <c r="H494" t="s">
        <v>3</v>
      </c>
      <c r="I494" s="3">
        <v>46276</v>
      </c>
      <c r="J494" t="s">
        <v>4</v>
      </c>
      <c r="K494" t="s">
        <v>678</v>
      </c>
      <c r="L494" t="s">
        <v>679</v>
      </c>
      <c r="M494" s="8">
        <v>-226.9</v>
      </c>
      <c r="N494" t="s">
        <v>0</v>
      </c>
      <c r="O494" t="s">
        <v>7</v>
      </c>
      <c r="P494" t="s">
        <v>8</v>
      </c>
    </row>
    <row r="495" spans="1:16" ht="13.95" customHeight="1" x14ac:dyDescent="0.25">
      <c r="A495" s="2" t="s">
        <v>0</v>
      </c>
      <c r="B495" t="s">
        <v>1</v>
      </c>
      <c r="C495" s="3">
        <v>46276</v>
      </c>
      <c r="D495" t="s">
        <v>2</v>
      </c>
      <c r="E495" t="s">
        <v>0</v>
      </c>
      <c r="F495" s="5">
        <v>122294</v>
      </c>
      <c r="G495" s="5" t="str">
        <f>VLOOKUP(F495,'[1]46974159BCSET2026'!$F:$AE,26,0)</f>
        <v>Sim</v>
      </c>
      <c r="H495" t="s">
        <v>3</v>
      </c>
      <c r="I495" s="3">
        <v>46276</v>
      </c>
      <c r="J495" t="s">
        <v>4</v>
      </c>
      <c r="K495" t="s">
        <v>680</v>
      </c>
      <c r="L495" t="s">
        <v>681</v>
      </c>
      <c r="M495" s="8">
        <v>-223.53</v>
      </c>
      <c r="N495" t="s">
        <v>0</v>
      </c>
      <c r="O495" t="s">
        <v>7</v>
      </c>
      <c r="P495" t="s">
        <v>8</v>
      </c>
    </row>
    <row r="496" spans="1:16" ht="13.95" customHeight="1" x14ac:dyDescent="0.25">
      <c r="A496" s="2" t="s">
        <v>0</v>
      </c>
      <c r="B496" t="s">
        <v>1</v>
      </c>
      <c r="C496" s="3">
        <v>46276</v>
      </c>
      <c r="D496" t="s">
        <v>2</v>
      </c>
      <c r="E496" t="s">
        <v>0</v>
      </c>
      <c r="F496" s="5">
        <v>122635</v>
      </c>
      <c r="G496" s="5" t="str">
        <f>VLOOKUP(F496,'[1]46974159BCSET2026'!$F:$AE,26,0)</f>
        <v>Sim</v>
      </c>
      <c r="H496" t="s">
        <v>3</v>
      </c>
      <c r="I496" s="3">
        <v>46276</v>
      </c>
      <c r="J496" t="s">
        <v>4</v>
      </c>
      <c r="K496" t="s">
        <v>682</v>
      </c>
      <c r="L496" t="s">
        <v>683</v>
      </c>
      <c r="M496" s="8">
        <v>-222.45</v>
      </c>
      <c r="N496" t="s">
        <v>0</v>
      </c>
      <c r="O496" t="s">
        <v>7</v>
      </c>
      <c r="P496" t="s">
        <v>8</v>
      </c>
    </row>
    <row r="497" spans="1:16" ht="13.95" customHeight="1" x14ac:dyDescent="0.25">
      <c r="A497" s="2" t="s">
        <v>0</v>
      </c>
      <c r="B497" t="s">
        <v>1</v>
      </c>
      <c r="C497" s="3">
        <v>46276</v>
      </c>
      <c r="D497" t="s">
        <v>2</v>
      </c>
      <c r="E497" t="s">
        <v>0</v>
      </c>
      <c r="F497" s="5">
        <v>122219</v>
      </c>
      <c r="G497" s="5" t="str">
        <f>VLOOKUP(F497,'[1]46974159BCSET2026'!$F:$AE,26,0)</f>
        <v>Sim</v>
      </c>
      <c r="H497" t="s">
        <v>3</v>
      </c>
      <c r="I497" s="3">
        <v>46276</v>
      </c>
      <c r="J497" t="s">
        <v>4</v>
      </c>
      <c r="K497" t="s">
        <v>620</v>
      </c>
      <c r="L497" t="s">
        <v>621</v>
      </c>
      <c r="M497" s="8">
        <v>-222.45</v>
      </c>
      <c r="N497" t="s">
        <v>0</v>
      </c>
      <c r="O497" t="s">
        <v>7</v>
      </c>
      <c r="P497" t="s">
        <v>8</v>
      </c>
    </row>
    <row r="498" spans="1:16" ht="13.95" customHeight="1" x14ac:dyDescent="0.25">
      <c r="A498" s="2" t="s">
        <v>0</v>
      </c>
      <c r="B498" t="s">
        <v>1</v>
      </c>
      <c r="C498" s="3">
        <v>46276</v>
      </c>
      <c r="D498" t="s">
        <v>2</v>
      </c>
      <c r="E498" t="s">
        <v>0</v>
      </c>
      <c r="F498" s="5">
        <v>122646</v>
      </c>
      <c r="G498" s="5" t="str">
        <f>VLOOKUP(F498,'[1]46974159BCSET2026'!$F:$AE,26,0)</f>
        <v>Sim</v>
      </c>
      <c r="H498" t="s">
        <v>3</v>
      </c>
      <c r="I498" s="3">
        <v>46276</v>
      </c>
      <c r="J498" t="s">
        <v>4</v>
      </c>
      <c r="K498" t="s">
        <v>684</v>
      </c>
      <c r="L498" t="s">
        <v>685</v>
      </c>
      <c r="M498" s="8">
        <v>-222.45</v>
      </c>
      <c r="N498" t="s">
        <v>0</v>
      </c>
      <c r="O498" t="s">
        <v>7</v>
      </c>
      <c r="P498" t="s">
        <v>8</v>
      </c>
    </row>
    <row r="499" spans="1:16" ht="13.95" customHeight="1" x14ac:dyDescent="0.25">
      <c r="A499" s="2" t="s">
        <v>0</v>
      </c>
      <c r="B499" t="s">
        <v>1</v>
      </c>
      <c r="C499" s="3">
        <v>46276</v>
      </c>
      <c r="D499" t="s">
        <v>2</v>
      </c>
      <c r="E499" t="s">
        <v>0</v>
      </c>
      <c r="F499" s="5">
        <v>122538</v>
      </c>
      <c r="G499" s="5" t="str">
        <f>VLOOKUP(F499,'[1]46974159BCSET2026'!$F:$AE,26,0)</f>
        <v>Sim</v>
      </c>
      <c r="H499" t="s">
        <v>3</v>
      </c>
      <c r="I499" s="3">
        <v>46276</v>
      </c>
      <c r="J499" t="s">
        <v>4</v>
      </c>
      <c r="K499" t="s">
        <v>686</v>
      </c>
      <c r="L499" t="s">
        <v>687</v>
      </c>
      <c r="M499" s="8">
        <v>-222.45</v>
      </c>
      <c r="N499" t="s">
        <v>0</v>
      </c>
      <c r="O499" t="s">
        <v>7</v>
      </c>
      <c r="P499" t="s">
        <v>8</v>
      </c>
    </row>
    <row r="500" spans="1:16" ht="13.95" customHeight="1" x14ac:dyDescent="0.25">
      <c r="A500" s="2" t="s">
        <v>0</v>
      </c>
      <c r="B500" t="s">
        <v>1</v>
      </c>
      <c r="C500" s="3">
        <v>46276</v>
      </c>
      <c r="D500" t="s">
        <v>2</v>
      </c>
      <c r="E500" t="s">
        <v>0</v>
      </c>
      <c r="F500" s="5">
        <v>122780</v>
      </c>
      <c r="G500" s="5" t="str">
        <f>VLOOKUP(F500,'[1]46974159BCSET2026'!$F:$AE,26,0)</f>
        <v>Sim</v>
      </c>
      <c r="H500" t="s">
        <v>3</v>
      </c>
      <c r="I500" s="3">
        <v>46276</v>
      </c>
      <c r="J500" t="s">
        <v>4</v>
      </c>
      <c r="K500" t="s">
        <v>688</v>
      </c>
      <c r="L500" t="s">
        <v>689</v>
      </c>
      <c r="M500" s="8">
        <v>-222.45</v>
      </c>
      <c r="N500" t="s">
        <v>0</v>
      </c>
      <c r="O500" t="s">
        <v>7</v>
      </c>
      <c r="P500" t="s">
        <v>8</v>
      </c>
    </row>
    <row r="501" spans="1:16" ht="13.95" customHeight="1" x14ac:dyDescent="0.25">
      <c r="A501" s="2" t="s">
        <v>0</v>
      </c>
      <c r="B501" t="s">
        <v>1</v>
      </c>
      <c r="C501" s="3">
        <v>46276</v>
      </c>
      <c r="D501" t="s">
        <v>2</v>
      </c>
      <c r="E501" t="s">
        <v>0</v>
      </c>
      <c r="F501" s="5">
        <v>122452</v>
      </c>
      <c r="G501" s="5" t="str">
        <f>VLOOKUP(F501,'[1]46974159BCSET2026'!$F:$AE,26,0)</f>
        <v>Sim</v>
      </c>
      <c r="H501" t="s">
        <v>3</v>
      </c>
      <c r="I501" s="3">
        <v>46276</v>
      </c>
      <c r="J501" t="s">
        <v>4</v>
      </c>
      <c r="K501" t="s">
        <v>690</v>
      </c>
      <c r="L501" t="s">
        <v>691</v>
      </c>
      <c r="M501" s="8">
        <v>-222.45</v>
      </c>
      <c r="N501" t="s">
        <v>0</v>
      </c>
      <c r="O501" t="s">
        <v>7</v>
      </c>
      <c r="P501" t="s">
        <v>8</v>
      </c>
    </row>
    <row r="502" spans="1:16" ht="13.95" customHeight="1" x14ac:dyDescent="0.25">
      <c r="A502" s="2" t="s">
        <v>0</v>
      </c>
      <c r="B502" t="s">
        <v>1</v>
      </c>
      <c r="C502" s="3">
        <v>46276</v>
      </c>
      <c r="D502" t="s">
        <v>2</v>
      </c>
      <c r="E502" t="s">
        <v>0</v>
      </c>
      <c r="F502" s="5">
        <v>122454</v>
      </c>
      <c r="G502" s="5" t="str">
        <f>VLOOKUP(F502,'[1]46974159BCSET2026'!$F:$AE,26,0)</f>
        <v>Sim</v>
      </c>
      <c r="H502" t="s">
        <v>3</v>
      </c>
      <c r="I502" s="3">
        <v>46276</v>
      </c>
      <c r="J502" t="s">
        <v>4</v>
      </c>
      <c r="K502" t="s">
        <v>692</v>
      </c>
      <c r="L502" t="s">
        <v>693</v>
      </c>
      <c r="M502" s="8">
        <v>-222.45</v>
      </c>
      <c r="N502" t="s">
        <v>0</v>
      </c>
      <c r="O502" t="s">
        <v>7</v>
      </c>
      <c r="P502" t="s">
        <v>8</v>
      </c>
    </row>
    <row r="503" spans="1:16" ht="13.95" customHeight="1" x14ac:dyDescent="0.25">
      <c r="A503" s="2" t="s">
        <v>0</v>
      </c>
      <c r="B503" t="s">
        <v>1</v>
      </c>
      <c r="C503" s="3">
        <v>46276</v>
      </c>
      <c r="D503" t="s">
        <v>2</v>
      </c>
      <c r="E503" t="s">
        <v>0</v>
      </c>
      <c r="F503" s="5">
        <v>122467</v>
      </c>
      <c r="G503" s="5" t="str">
        <f>VLOOKUP(F503,'[1]46974159BCSET2026'!$F:$AE,26,0)</f>
        <v>Sim</v>
      </c>
      <c r="H503" t="s">
        <v>3</v>
      </c>
      <c r="I503" s="3">
        <v>46276</v>
      </c>
      <c r="J503" t="s">
        <v>4</v>
      </c>
      <c r="K503" t="s">
        <v>694</v>
      </c>
      <c r="L503" t="s">
        <v>695</v>
      </c>
      <c r="M503" s="8">
        <v>-222.45</v>
      </c>
      <c r="N503" t="s">
        <v>0</v>
      </c>
      <c r="O503" t="s">
        <v>7</v>
      </c>
      <c r="P503" t="s">
        <v>8</v>
      </c>
    </row>
    <row r="504" spans="1:16" ht="13.95" customHeight="1" x14ac:dyDescent="0.25">
      <c r="A504" s="2" t="s">
        <v>0</v>
      </c>
      <c r="B504" t="s">
        <v>1</v>
      </c>
      <c r="C504" s="3">
        <v>46276</v>
      </c>
      <c r="D504" t="s">
        <v>2</v>
      </c>
      <c r="E504" t="s">
        <v>0</v>
      </c>
      <c r="F504" s="5">
        <v>122806</v>
      </c>
      <c r="G504" s="5" t="str">
        <f>VLOOKUP(F504,'[1]46974159BCSET2026'!$F:$AE,26,0)</f>
        <v>Sim</v>
      </c>
      <c r="H504" t="s">
        <v>3</v>
      </c>
      <c r="I504" s="3">
        <v>46276</v>
      </c>
      <c r="J504" t="s">
        <v>4</v>
      </c>
      <c r="K504" t="s">
        <v>696</v>
      </c>
      <c r="L504" t="s">
        <v>697</v>
      </c>
      <c r="M504" s="8">
        <v>-222.45</v>
      </c>
      <c r="N504" t="s">
        <v>0</v>
      </c>
      <c r="O504" t="s">
        <v>7</v>
      </c>
      <c r="P504" t="s">
        <v>8</v>
      </c>
    </row>
    <row r="505" spans="1:16" ht="13.95" customHeight="1" x14ac:dyDescent="0.25">
      <c r="A505" s="2" t="s">
        <v>0</v>
      </c>
      <c r="B505" t="s">
        <v>1</v>
      </c>
      <c r="C505" s="3">
        <v>46276</v>
      </c>
      <c r="D505" t="s">
        <v>2</v>
      </c>
      <c r="E505" t="s">
        <v>0</v>
      </c>
      <c r="F505" s="5">
        <v>122620</v>
      </c>
      <c r="G505" s="5" t="str">
        <f>VLOOKUP(F505,'[1]46974159BCSET2026'!$F:$AE,26,0)</f>
        <v>Sim</v>
      </c>
      <c r="H505" t="s">
        <v>3</v>
      </c>
      <c r="I505" s="3">
        <v>46276</v>
      </c>
      <c r="J505" t="s">
        <v>4</v>
      </c>
      <c r="K505" t="s">
        <v>698</v>
      </c>
      <c r="L505" t="s">
        <v>699</v>
      </c>
      <c r="M505" s="8">
        <v>-222.45</v>
      </c>
      <c r="N505" t="s">
        <v>0</v>
      </c>
      <c r="O505" t="s">
        <v>7</v>
      </c>
      <c r="P505" t="s">
        <v>8</v>
      </c>
    </row>
    <row r="506" spans="1:16" ht="13.95" customHeight="1" x14ac:dyDescent="0.25">
      <c r="A506" s="2" t="s">
        <v>0</v>
      </c>
      <c r="B506" t="s">
        <v>1</v>
      </c>
      <c r="C506" s="3">
        <v>46276</v>
      </c>
      <c r="D506" t="s">
        <v>2</v>
      </c>
      <c r="E506" t="s">
        <v>0</v>
      </c>
      <c r="F506" s="5">
        <v>122477</v>
      </c>
      <c r="G506" s="5" t="str">
        <f>VLOOKUP(F506,'[1]46974159BCSET2026'!$F:$AE,26,0)</f>
        <v>Sim</v>
      </c>
      <c r="H506" t="s">
        <v>3</v>
      </c>
      <c r="I506" s="3">
        <v>46276</v>
      </c>
      <c r="J506" t="s">
        <v>4</v>
      </c>
      <c r="K506" t="s">
        <v>700</v>
      </c>
      <c r="L506" t="s">
        <v>701</v>
      </c>
      <c r="M506" s="8">
        <v>-222.45</v>
      </c>
      <c r="N506" t="s">
        <v>0</v>
      </c>
      <c r="O506" t="s">
        <v>7</v>
      </c>
      <c r="P506" t="s">
        <v>8</v>
      </c>
    </row>
    <row r="507" spans="1:16" ht="13.95" customHeight="1" x14ac:dyDescent="0.25">
      <c r="A507" s="2" t="s">
        <v>0</v>
      </c>
      <c r="B507" t="s">
        <v>1</v>
      </c>
      <c r="C507" s="3">
        <v>46276</v>
      </c>
      <c r="D507" t="s">
        <v>2</v>
      </c>
      <c r="E507" t="s">
        <v>0</v>
      </c>
      <c r="F507" s="5">
        <v>122480</v>
      </c>
      <c r="G507" s="5" t="str">
        <f>VLOOKUP(F507,'[1]46974159BCSET2026'!$F:$AE,26,0)</f>
        <v>Sim</v>
      </c>
      <c r="H507" t="s">
        <v>3</v>
      </c>
      <c r="I507" s="3">
        <v>46276</v>
      </c>
      <c r="J507" t="s">
        <v>4</v>
      </c>
      <c r="K507" t="s">
        <v>702</v>
      </c>
      <c r="L507" t="s">
        <v>703</v>
      </c>
      <c r="M507" s="8">
        <v>-222.45</v>
      </c>
      <c r="N507" t="s">
        <v>0</v>
      </c>
      <c r="O507" t="s">
        <v>7</v>
      </c>
      <c r="P507" t="s">
        <v>8</v>
      </c>
    </row>
    <row r="508" spans="1:16" ht="13.95" customHeight="1" x14ac:dyDescent="0.25">
      <c r="A508" s="2" t="s">
        <v>0</v>
      </c>
      <c r="B508" t="s">
        <v>1</v>
      </c>
      <c r="C508" s="3">
        <v>46276</v>
      </c>
      <c r="D508" t="s">
        <v>2</v>
      </c>
      <c r="E508" t="s">
        <v>0</v>
      </c>
      <c r="F508" s="5">
        <v>122483</v>
      </c>
      <c r="G508" s="5" t="str">
        <f>VLOOKUP(F508,'[1]46974159BCSET2026'!$F:$AE,26,0)</f>
        <v>Sim</v>
      </c>
      <c r="H508" t="s">
        <v>3</v>
      </c>
      <c r="I508" s="3">
        <v>46276</v>
      </c>
      <c r="J508" t="s">
        <v>4</v>
      </c>
      <c r="K508" t="s">
        <v>704</v>
      </c>
      <c r="L508" t="s">
        <v>705</v>
      </c>
      <c r="M508" s="8">
        <v>-222.45</v>
      </c>
      <c r="N508" t="s">
        <v>0</v>
      </c>
      <c r="O508" t="s">
        <v>7</v>
      </c>
      <c r="P508" t="s">
        <v>8</v>
      </c>
    </row>
    <row r="509" spans="1:16" ht="13.95" customHeight="1" x14ac:dyDescent="0.25">
      <c r="A509" s="2" t="s">
        <v>0</v>
      </c>
      <c r="B509" t="s">
        <v>1</v>
      </c>
      <c r="C509" s="3">
        <v>46276</v>
      </c>
      <c r="D509" t="s">
        <v>2</v>
      </c>
      <c r="E509" t="s">
        <v>0</v>
      </c>
      <c r="F509" s="5">
        <v>122484</v>
      </c>
      <c r="G509" s="5" t="str">
        <f>VLOOKUP(F509,'[1]46974159BCSET2026'!$F:$AE,26,0)</f>
        <v>Sim</v>
      </c>
      <c r="H509" t="s">
        <v>3</v>
      </c>
      <c r="I509" s="3">
        <v>46276</v>
      </c>
      <c r="J509" t="s">
        <v>4</v>
      </c>
      <c r="K509" t="s">
        <v>706</v>
      </c>
      <c r="L509" t="s">
        <v>707</v>
      </c>
      <c r="M509" s="8">
        <v>-222.45</v>
      </c>
      <c r="N509" t="s">
        <v>0</v>
      </c>
      <c r="O509" t="s">
        <v>7</v>
      </c>
      <c r="P509" t="s">
        <v>8</v>
      </c>
    </row>
    <row r="510" spans="1:16" ht="13.95" customHeight="1" x14ac:dyDescent="0.25">
      <c r="A510" s="2" t="s">
        <v>0</v>
      </c>
      <c r="B510" t="s">
        <v>1</v>
      </c>
      <c r="C510" s="3">
        <v>46276</v>
      </c>
      <c r="D510" t="s">
        <v>2</v>
      </c>
      <c r="E510" t="s">
        <v>0</v>
      </c>
      <c r="F510" s="5">
        <v>122807</v>
      </c>
      <c r="G510" s="5" t="str">
        <f>VLOOKUP(F510,'[1]46974159BCSET2026'!$F:$AE,26,0)</f>
        <v>Sim</v>
      </c>
      <c r="H510" t="s">
        <v>3</v>
      </c>
      <c r="I510" s="3">
        <v>46276</v>
      </c>
      <c r="J510" t="s">
        <v>4</v>
      </c>
      <c r="K510" t="s">
        <v>708</v>
      </c>
      <c r="L510" t="s">
        <v>709</v>
      </c>
      <c r="M510" s="8">
        <v>-222.45</v>
      </c>
      <c r="N510" t="s">
        <v>0</v>
      </c>
      <c r="O510" t="s">
        <v>7</v>
      </c>
      <c r="P510" t="s">
        <v>8</v>
      </c>
    </row>
    <row r="511" spans="1:16" ht="13.95" customHeight="1" x14ac:dyDescent="0.25">
      <c r="A511" s="2" t="s">
        <v>0</v>
      </c>
      <c r="B511" t="s">
        <v>1</v>
      </c>
      <c r="C511" s="3">
        <v>46276</v>
      </c>
      <c r="D511" t="s">
        <v>2</v>
      </c>
      <c r="E511" t="s">
        <v>0</v>
      </c>
      <c r="F511" s="5">
        <v>122486</v>
      </c>
      <c r="G511" s="5" t="str">
        <f>VLOOKUP(F511,'[1]46974159BCSET2026'!$F:$AE,26,0)</f>
        <v>Sim</v>
      </c>
      <c r="H511" t="s">
        <v>3</v>
      </c>
      <c r="I511" s="3">
        <v>46276</v>
      </c>
      <c r="J511" t="s">
        <v>4</v>
      </c>
      <c r="K511" t="s">
        <v>710</v>
      </c>
      <c r="L511" t="s">
        <v>711</v>
      </c>
      <c r="M511" s="8">
        <v>-222.45</v>
      </c>
      <c r="N511" t="s">
        <v>0</v>
      </c>
      <c r="O511" t="s">
        <v>7</v>
      </c>
      <c r="P511" t="s">
        <v>8</v>
      </c>
    </row>
    <row r="512" spans="1:16" ht="13.95" customHeight="1" x14ac:dyDescent="0.25">
      <c r="A512" s="2" t="s">
        <v>0</v>
      </c>
      <c r="B512" t="s">
        <v>1</v>
      </c>
      <c r="C512" s="3">
        <v>46276</v>
      </c>
      <c r="D512" t="s">
        <v>2</v>
      </c>
      <c r="E512" t="s">
        <v>0</v>
      </c>
      <c r="F512" s="5">
        <v>122808</v>
      </c>
      <c r="G512" s="5" t="str">
        <f>VLOOKUP(F512,'[1]46974159BCSET2026'!$F:$AE,26,0)</f>
        <v>Sim</v>
      </c>
      <c r="H512" t="s">
        <v>3</v>
      </c>
      <c r="I512" s="3">
        <v>46276</v>
      </c>
      <c r="J512" t="s">
        <v>4</v>
      </c>
      <c r="K512" t="s">
        <v>712</v>
      </c>
      <c r="L512" t="s">
        <v>713</v>
      </c>
      <c r="M512" s="8">
        <v>-222.45</v>
      </c>
      <c r="N512" t="s">
        <v>0</v>
      </c>
      <c r="O512" t="s">
        <v>7</v>
      </c>
      <c r="P512" t="s">
        <v>8</v>
      </c>
    </row>
    <row r="513" spans="1:16" ht="13.95" customHeight="1" x14ac:dyDescent="0.25">
      <c r="A513" s="2" t="s">
        <v>0</v>
      </c>
      <c r="B513" t="s">
        <v>1</v>
      </c>
      <c r="C513" s="3">
        <v>46276</v>
      </c>
      <c r="D513" t="s">
        <v>2</v>
      </c>
      <c r="E513" t="s">
        <v>0</v>
      </c>
      <c r="F513" s="5">
        <v>122706</v>
      </c>
      <c r="G513" s="5" t="str">
        <f>VLOOKUP(F513,'[1]46974159BCSET2026'!$F:$AE,26,0)</f>
        <v>Sim</v>
      </c>
      <c r="H513" t="s">
        <v>3</v>
      </c>
      <c r="I513" s="3">
        <v>46276</v>
      </c>
      <c r="J513" t="s">
        <v>4</v>
      </c>
      <c r="K513" t="s">
        <v>714</v>
      </c>
      <c r="L513" t="s">
        <v>715</v>
      </c>
      <c r="M513" s="8">
        <v>-220.64</v>
      </c>
      <c r="N513" t="s">
        <v>0</v>
      </c>
      <c r="O513" t="s">
        <v>7</v>
      </c>
      <c r="P513" t="s">
        <v>8</v>
      </c>
    </row>
    <row r="514" spans="1:16" ht="13.95" customHeight="1" x14ac:dyDescent="0.25">
      <c r="A514" s="2" t="s">
        <v>0</v>
      </c>
      <c r="B514" t="s">
        <v>1</v>
      </c>
      <c r="C514" s="3">
        <v>46276</v>
      </c>
      <c r="D514" t="s">
        <v>2</v>
      </c>
      <c r="E514" t="s">
        <v>0</v>
      </c>
      <c r="F514" s="5">
        <v>122350</v>
      </c>
      <c r="G514" s="5" t="str">
        <f>VLOOKUP(F514,'[1]46974159BCSET2026'!$F:$AE,26,0)</f>
        <v>Sim</v>
      </c>
      <c r="H514" t="s">
        <v>3</v>
      </c>
      <c r="I514" s="3">
        <v>46276</v>
      </c>
      <c r="J514" t="s">
        <v>4</v>
      </c>
      <c r="K514" t="s">
        <v>716</v>
      </c>
      <c r="L514" t="s">
        <v>717</v>
      </c>
      <c r="M514" s="8">
        <v>-219.33</v>
      </c>
      <c r="N514" t="s">
        <v>0</v>
      </c>
      <c r="O514" t="s">
        <v>7</v>
      </c>
      <c r="P514" t="s">
        <v>8</v>
      </c>
    </row>
    <row r="515" spans="1:16" ht="13.95" customHeight="1" x14ac:dyDescent="0.25">
      <c r="A515" s="2" t="s">
        <v>0</v>
      </c>
      <c r="B515" t="s">
        <v>1</v>
      </c>
      <c r="C515" s="3">
        <v>46276</v>
      </c>
      <c r="D515" t="s">
        <v>2</v>
      </c>
      <c r="E515" t="s">
        <v>0</v>
      </c>
      <c r="F515" s="5">
        <v>122506</v>
      </c>
      <c r="G515" s="5" t="str">
        <f>VLOOKUP(F515,'[1]46974159BCSET2026'!$F:$AE,26,0)</f>
        <v>Sim</v>
      </c>
      <c r="H515" t="s">
        <v>3</v>
      </c>
      <c r="I515" s="3">
        <v>46276</v>
      </c>
      <c r="J515" t="s">
        <v>4</v>
      </c>
      <c r="K515" t="s">
        <v>231</v>
      </c>
      <c r="L515" t="s">
        <v>232</v>
      </c>
      <c r="M515" s="8">
        <v>-214.29</v>
      </c>
      <c r="N515" t="s">
        <v>0</v>
      </c>
      <c r="O515" t="s">
        <v>7</v>
      </c>
      <c r="P515" t="s">
        <v>8</v>
      </c>
    </row>
    <row r="516" spans="1:16" ht="13.95" customHeight="1" x14ac:dyDescent="0.25">
      <c r="A516" s="2" t="s">
        <v>0</v>
      </c>
      <c r="B516" t="s">
        <v>1</v>
      </c>
      <c r="C516" s="3">
        <v>46276</v>
      </c>
      <c r="D516" t="s">
        <v>2</v>
      </c>
      <c r="E516" t="s">
        <v>0</v>
      </c>
      <c r="F516" s="5">
        <v>122796</v>
      </c>
      <c r="G516" s="5" t="str">
        <f>VLOOKUP(F516,'[1]46974159BCSET2026'!$F:$AE,26,0)</f>
        <v>Sim</v>
      </c>
      <c r="H516" t="s">
        <v>3</v>
      </c>
      <c r="I516" s="3">
        <v>46276</v>
      </c>
      <c r="J516" t="s">
        <v>4</v>
      </c>
      <c r="K516" t="s">
        <v>718</v>
      </c>
      <c r="L516" t="s">
        <v>719</v>
      </c>
      <c r="M516" s="8">
        <v>-214.29</v>
      </c>
      <c r="N516" t="s">
        <v>0</v>
      </c>
      <c r="O516" t="s">
        <v>7</v>
      </c>
      <c r="P516" t="s">
        <v>8</v>
      </c>
    </row>
    <row r="517" spans="1:16" ht="13.95" customHeight="1" x14ac:dyDescent="0.25">
      <c r="A517" s="2" t="s">
        <v>0</v>
      </c>
      <c r="B517" t="s">
        <v>1</v>
      </c>
      <c r="C517" s="3">
        <v>46276</v>
      </c>
      <c r="D517" t="s">
        <v>2</v>
      </c>
      <c r="E517" t="s">
        <v>0</v>
      </c>
      <c r="F517" s="5">
        <v>122674</v>
      </c>
      <c r="G517" s="5" t="str">
        <f>VLOOKUP(F517,'[1]46974159BCSET2026'!$F:$AE,26,0)</f>
        <v>Sim</v>
      </c>
      <c r="H517" t="s">
        <v>3</v>
      </c>
      <c r="I517" s="3">
        <v>46276</v>
      </c>
      <c r="J517" t="s">
        <v>4</v>
      </c>
      <c r="K517" t="s">
        <v>147</v>
      </c>
      <c r="L517" t="s">
        <v>148</v>
      </c>
      <c r="M517" s="8">
        <v>-212.37</v>
      </c>
      <c r="N517" t="s">
        <v>0</v>
      </c>
      <c r="O517" t="s">
        <v>7</v>
      </c>
      <c r="P517" t="s">
        <v>8</v>
      </c>
    </row>
    <row r="518" spans="1:16" ht="13.95" customHeight="1" x14ac:dyDescent="0.25">
      <c r="A518" s="2" t="s">
        <v>0</v>
      </c>
      <c r="B518" t="s">
        <v>1</v>
      </c>
      <c r="C518" s="3">
        <v>46276</v>
      </c>
      <c r="D518" t="s">
        <v>2</v>
      </c>
      <c r="E518" t="s">
        <v>0</v>
      </c>
      <c r="F518" s="5">
        <v>122192</v>
      </c>
      <c r="G518" s="5" t="str">
        <f>VLOOKUP(F518,'[1]46974159BCSET2026'!$F:$AE,26,0)</f>
        <v>Sim</v>
      </c>
      <c r="H518" t="s">
        <v>3</v>
      </c>
      <c r="I518" s="3">
        <v>46276</v>
      </c>
      <c r="J518" t="s">
        <v>4</v>
      </c>
      <c r="K518" t="s">
        <v>125</v>
      </c>
      <c r="L518" t="s">
        <v>126</v>
      </c>
      <c r="M518" s="8">
        <v>-209.85</v>
      </c>
      <c r="N518" t="s">
        <v>0</v>
      </c>
      <c r="O518" t="s">
        <v>7</v>
      </c>
      <c r="P518" t="s">
        <v>8</v>
      </c>
    </row>
    <row r="519" spans="1:16" ht="13.95" customHeight="1" x14ac:dyDescent="0.25">
      <c r="A519" s="2" t="s">
        <v>0</v>
      </c>
      <c r="B519" t="s">
        <v>1</v>
      </c>
      <c r="C519" s="3">
        <v>46276</v>
      </c>
      <c r="D519" t="s">
        <v>2</v>
      </c>
      <c r="E519" t="s">
        <v>0</v>
      </c>
      <c r="F519" s="5">
        <v>122463</v>
      </c>
      <c r="G519" s="5" t="str">
        <f>VLOOKUP(F519,'[1]46974159BCSET2026'!$F:$AE,26,0)</f>
        <v>Sim</v>
      </c>
      <c r="H519" t="s">
        <v>3</v>
      </c>
      <c r="I519" s="3">
        <v>46276</v>
      </c>
      <c r="J519" t="s">
        <v>4</v>
      </c>
      <c r="K519" t="s">
        <v>720</v>
      </c>
      <c r="L519" t="s">
        <v>721</v>
      </c>
      <c r="M519" s="8">
        <v>-208.16</v>
      </c>
      <c r="N519" t="s">
        <v>0</v>
      </c>
      <c r="O519" t="s">
        <v>7</v>
      </c>
      <c r="P519" t="s">
        <v>8</v>
      </c>
    </row>
    <row r="520" spans="1:16" ht="13.95" customHeight="1" x14ac:dyDescent="0.25">
      <c r="A520" s="2" t="s">
        <v>0</v>
      </c>
      <c r="B520" t="s">
        <v>1</v>
      </c>
      <c r="C520" s="3">
        <v>46276</v>
      </c>
      <c r="D520" t="s">
        <v>2</v>
      </c>
      <c r="E520" t="s">
        <v>0</v>
      </c>
      <c r="F520" s="5">
        <v>122512</v>
      </c>
      <c r="G520" s="5" t="str">
        <f>VLOOKUP(F520,'[1]46974159BCSET2026'!$F:$AE,26,0)</f>
        <v>Sim</v>
      </c>
      <c r="H520" t="s">
        <v>3</v>
      </c>
      <c r="I520" s="3">
        <v>46276</v>
      </c>
      <c r="J520" t="s">
        <v>4</v>
      </c>
      <c r="K520" t="s">
        <v>722</v>
      </c>
      <c r="L520" t="s">
        <v>723</v>
      </c>
      <c r="M520" s="8">
        <v>-207.86</v>
      </c>
      <c r="N520" t="s">
        <v>0</v>
      </c>
      <c r="O520" t="s">
        <v>7</v>
      </c>
      <c r="P520" t="s">
        <v>8</v>
      </c>
    </row>
    <row r="521" spans="1:16" ht="13.95" customHeight="1" x14ac:dyDescent="0.25">
      <c r="A521" s="2" t="s">
        <v>0</v>
      </c>
      <c r="B521" t="s">
        <v>1</v>
      </c>
      <c r="C521" s="3">
        <v>46276</v>
      </c>
      <c r="D521" t="s">
        <v>2</v>
      </c>
      <c r="E521" t="s">
        <v>0</v>
      </c>
      <c r="F521" s="5">
        <v>122661</v>
      </c>
      <c r="G521" s="5" t="str">
        <f>VLOOKUP(F521,'[1]46974159BCSET2026'!$F:$AE,26,0)</f>
        <v>Sim</v>
      </c>
      <c r="H521" t="s">
        <v>3</v>
      </c>
      <c r="I521" s="3">
        <v>46276</v>
      </c>
      <c r="J521" t="s">
        <v>4</v>
      </c>
      <c r="K521" t="s">
        <v>724</v>
      </c>
      <c r="L521" t="s">
        <v>725</v>
      </c>
      <c r="M521" s="8">
        <v>-207.86</v>
      </c>
      <c r="N521" t="s">
        <v>0</v>
      </c>
      <c r="O521" t="s">
        <v>7</v>
      </c>
      <c r="P521" t="s">
        <v>8</v>
      </c>
    </row>
    <row r="522" spans="1:16" ht="13.95" customHeight="1" x14ac:dyDescent="0.25">
      <c r="A522" s="2" t="s">
        <v>0</v>
      </c>
      <c r="B522" t="s">
        <v>1</v>
      </c>
      <c r="C522" s="3">
        <v>46276</v>
      </c>
      <c r="D522" t="s">
        <v>2</v>
      </c>
      <c r="E522" t="s">
        <v>0</v>
      </c>
      <c r="F522" s="5">
        <v>122198</v>
      </c>
      <c r="G522" s="5" t="str">
        <f>VLOOKUP(F522,'[1]46974159BCSET2026'!$F:$AE,26,0)</f>
        <v>Sim</v>
      </c>
      <c r="H522" t="s">
        <v>3</v>
      </c>
      <c r="I522" s="3">
        <v>46276</v>
      </c>
      <c r="J522" t="s">
        <v>4</v>
      </c>
      <c r="K522" t="s">
        <v>239</v>
      </c>
      <c r="L522" t="s">
        <v>240</v>
      </c>
      <c r="M522" s="8">
        <v>-207.46</v>
      </c>
      <c r="N522" t="s">
        <v>0</v>
      </c>
      <c r="O522" t="s">
        <v>7</v>
      </c>
      <c r="P522" t="s">
        <v>8</v>
      </c>
    </row>
    <row r="523" spans="1:16" ht="13.95" customHeight="1" x14ac:dyDescent="0.25">
      <c r="A523" s="2" t="s">
        <v>0</v>
      </c>
      <c r="B523" t="s">
        <v>1</v>
      </c>
      <c r="C523" s="3">
        <v>46276</v>
      </c>
      <c r="D523" t="s">
        <v>2</v>
      </c>
      <c r="E523" t="s">
        <v>0</v>
      </c>
      <c r="F523" s="5">
        <v>122330</v>
      </c>
      <c r="G523" s="5" t="str">
        <f>VLOOKUP(F523,'[1]46974159BCSET2026'!$F:$AE,26,0)</f>
        <v>Sim</v>
      </c>
      <c r="H523" t="s">
        <v>3</v>
      </c>
      <c r="I523" s="3">
        <v>46276</v>
      </c>
      <c r="J523" t="s">
        <v>4</v>
      </c>
      <c r="K523" t="s">
        <v>726</v>
      </c>
      <c r="L523" t="s">
        <v>727</v>
      </c>
      <c r="M523" s="8">
        <v>-207.46</v>
      </c>
      <c r="N523" t="s">
        <v>0</v>
      </c>
      <c r="O523" t="s">
        <v>7</v>
      </c>
      <c r="P523" t="s">
        <v>8</v>
      </c>
    </row>
    <row r="524" spans="1:16" ht="13.95" customHeight="1" x14ac:dyDescent="0.25">
      <c r="A524" s="2" t="s">
        <v>0</v>
      </c>
      <c r="B524" t="s">
        <v>1</v>
      </c>
      <c r="C524" s="3">
        <v>46276</v>
      </c>
      <c r="D524" t="s">
        <v>2</v>
      </c>
      <c r="E524" t="s">
        <v>0</v>
      </c>
      <c r="F524" s="5">
        <v>122241</v>
      </c>
      <c r="G524" s="5" t="str">
        <f>VLOOKUP(F524,'[1]46974159BCSET2026'!$F:$AE,26,0)</f>
        <v>Sim</v>
      </c>
      <c r="H524" t="s">
        <v>3</v>
      </c>
      <c r="I524" s="3">
        <v>46276</v>
      </c>
      <c r="J524" t="s">
        <v>4</v>
      </c>
      <c r="K524" t="s">
        <v>728</v>
      </c>
      <c r="L524" t="s">
        <v>729</v>
      </c>
      <c r="M524" s="8">
        <v>-206.39</v>
      </c>
      <c r="N524" t="s">
        <v>0</v>
      </c>
      <c r="O524" t="s">
        <v>7</v>
      </c>
      <c r="P524" t="s">
        <v>8</v>
      </c>
    </row>
    <row r="525" spans="1:16" ht="13.95" customHeight="1" x14ac:dyDescent="0.25">
      <c r="A525" s="2" t="s">
        <v>0</v>
      </c>
      <c r="B525" t="s">
        <v>1</v>
      </c>
      <c r="C525" s="3">
        <v>46276</v>
      </c>
      <c r="D525" t="s">
        <v>2</v>
      </c>
      <c r="E525" t="s">
        <v>0</v>
      </c>
      <c r="F525" s="5">
        <v>122244</v>
      </c>
      <c r="G525" s="5" t="str">
        <f>VLOOKUP(F525,'[1]46974159BCSET2026'!$F:$AE,26,0)</f>
        <v>Sim</v>
      </c>
      <c r="H525" t="s">
        <v>3</v>
      </c>
      <c r="I525" s="3">
        <v>46276</v>
      </c>
      <c r="J525" t="s">
        <v>4</v>
      </c>
      <c r="K525" t="s">
        <v>730</v>
      </c>
      <c r="L525" t="s">
        <v>731</v>
      </c>
      <c r="M525" s="8">
        <v>-206.39</v>
      </c>
      <c r="N525" t="s">
        <v>0</v>
      </c>
      <c r="O525" t="s">
        <v>7</v>
      </c>
      <c r="P525" t="s">
        <v>8</v>
      </c>
    </row>
    <row r="526" spans="1:16" ht="13.95" customHeight="1" x14ac:dyDescent="0.25">
      <c r="A526" s="2" t="s">
        <v>0</v>
      </c>
      <c r="B526" t="s">
        <v>1</v>
      </c>
      <c r="C526" s="3">
        <v>46276</v>
      </c>
      <c r="D526" t="s">
        <v>2</v>
      </c>
      <c r="E526" t="s">
        <v>0</v>
      </c>
      <c r="F526" s="5">
        <v>122590</v>
      </c>
      <c r="G526" s="5" t="str">
        <f>VLOOKUP(F526,'[1]46974159BCSET2026'!$F:$AE,26,0)</f>
        <v>Sim</v>
      </c>
      <c r="H526" t="s">
        <v>3</v>
      </c>
      <c r="I526" s="3">
        <v>46276</v>
      </c>
      <c r="J526" t="s">
        <v>4</v>
      </c>
      <c r="K526" t="s">
        <v>732</v>
      </c>
      <c r="L526" t="s">
        <v>733</v>
      </c>
      <c r="M526" s="8">
        <v>-206.39</v>
      </c>
      <c r="N526" t="s">
        <v>0</v>
      </c>
      <c r="O526" t="s">
        <v>7</v>
      </c>
      <c r="P526" t="s">
        <v>8</v>
      </c>
    </row>
    <row r="527" spans="1:16" ht="13.95" customHeight="1" x14ac:dyDescent="0.25">
      <c r="A527" s="2" t="s">
        <v>0</v>
      </c>
      <c r="B527" t="s">
        <v>1</v>
      </c>
      <c r="C527" s="3">
        <v>46276</v>
      </c>
      <c r="D527" t="s">
        <v>2</v>
      </c>
      <c r="E527" t="s">
        <v>0</v>
      </c>
      <c r="F527" s="5">
        <v>122384</v>
      </c>
      <c r="G527" s="5" t="str">
        <f>VLOOKUP(F527,'[1]46974159BCSET2026'!$F:$AE,26,0)</f>
        <v>Sim</v>
      </c>
      <c r="H527" t="s">
        <v>3</v>
      </c>
      <c r="I527" s="3">
        <v>46276</v>
      </c>
      <c r="J527" t="s">
        <v>4</v>
      </c>
      <c r="K527" t="s">
        <v>734</v>
      </c>
      <c r="L527" t="s">
        <v>735</v>
      </c>
      <c r="M527" s="8">
        <v>-206.39</v>
      </c>
      <c r="N527" t="s">
        <v>0</v>
      </c>
      <c r="O527" t="s">
        <v>7</v>
      </c>
      <c r="P527" t="s">
        <v>8</v>
      </c>
    </row>
    <row r="528" spans="1:16" ht="13.95" customHeight="1" x14ac:dyDescent="0.25">
      <c r="A528" s="2" t="s">
        <v>0</v>
      </c>
      <c r="B528" t="s">
        <v>1</v>
      </c>
      <c r="C528" s="3">
        <v>46276</v>
      </c>
      <c r="D528" t="s">
        <v>2</v>
      </c>
      <c r="E528" t="s">
        <v>0</v>
      </c>
      <c r="F528" s="5">
        <v>122681</v>
      </c>
      <c r="G528" s="5" t="str">
        <f>VLOOKUP(F528,'[1]46974159BCSET2026'!$F:$AE,26,0)</f>
        <v>Sim</v>
      </c>
      <c r="H528" t="s">
        <v>3</v>
      </c>
      <c r="I528" s="3">
        <v>46276</v>
      </c>
      <c r="J528" t="s">
        <v>4</v>
      </c>
      <c r="K528" t="s">
        <v>736</v>
      </c>
      <c r="L528" t="s">
        <v>737</v>
      </c>
      <c r="M528" s="8">
        <v>-206.08</v>
      </c>
      <c r="N528" t="s">
        <v>0</v>
      </c>
      <c r="O528" t="s">
        <v>7</v>
      </c>
      <c r="P528" t="s">
        <v>8</v>
      </c>
    </row>
    <row r="529" spans="1:16" ht="13.95" customHeight="1" x14ac:dyDescent="0.25">
      <c r="A529" s="2" t="s">
        <v>0</v>
      </c>
      <c r="B529" t="s">
        <v>1</v>
      </c>
      <c r="C529" s="3">
        <v>46276</v>
      </c>
      <c r="D529" t="s">
        <v>2</v>
      </c>
      <c r="E529" t="s">
        <v>0</v>
      </c>
      <c r="F529" s="5">
        <v>122386</v>
      </c>
      <c r="G529" s="5" t="str">
        <f>VLOOKUP(F529,'[1]46974159BCSET2026'!$F:$AE,26,0)</f>
        <v>Sim</v>
      </c>
      <c r="H529" t="s">
        <v>3</v>
      </c>
      <c r="I529" s="3">
        <v>46276</v>
      </c>
      <c r="J529" t="s">
        <v>4</v>
      </c>
      <c r="K529" t="s">
        <v>738</v>
      </c>
      <c r="L529" t="s">
        <v>739</v>
      </c>
      <c r="M529" s="8">
        <v>-205.36</v>
      </c>
      <c r="N529" t="s">
        <v>0</v>
      </c>
      <c r="O529" t="s">
        <v>7</v>
      </c>
      <c r="P529" t="s">
        <v>8</v>
      </c>
    </row>
    <row r="530" spans="1:16" ht="13.95" customHeight="1" x14ac:dyDescent="0.25">
      <c r="A530" s="2" t="s">
        <v>0</v>
      </c>
      <c r="B530" t="s">
        <v>1</v>
      </c>
      <c r="C530" s="3">
        <v>46276</v>
      </c>
      <c r="D530" t="s">
        <v>2</v>
      </c>
      <c r="E530" t="s">
        <v>0</v>
      </c>
      <c r="F530" s="5">
        <v>122511</v>
      </c>
      <c r="G530" s="5" t="str">
        <f>VLOOKUP(F530,'[1]46974159BCSET2026'!$F:$AE,26,0)</f>
        <v>Sim</v>
      </c>
      <c r="H530" t="s">
        <v>3</v>
      </c>
      <c r="I530" s="3">
        <v>46276</v>
      </c>
      <c r="J530" t="s">
        <v>4</v>
      </c>
      <c r="K530" t="s">
        <v>740</v>
      </c>
      <c r="L530" t="s">
        <v>741</v>
      </c>
      <c r="M530" s="8">
        <v>-205.28</v>
      </c>
      <c r="N530" t="s">
        <v>0</v>
      </c>
      <c r="O530" t="s">
        <v>7</v>
      </c>
      <c r="P530" t="s">
        <v>8</v>
      </c>
    </row>
    <row r="531" spans="1:16" ht="13.95" customHeight="1" x14ac:dyDescent="0.25">
      <c r="A531" s="2" t="s">
        <v>0</v>
      </c>
      <c r="B531" t="s">
        <v>1</v>
      </c>
      <c r="C531" s="3">
        <v>46276</v>
      </c>
      <c r="D531" t="s">
        <v>2</v>
      </c>
      <c r="E531" t="s">
        <v>0</v>
      </c>
      <c r="F531" s="5">
        <v>122520</v>
      </c>
      <c r="G531" s="5" t="str">
        <f>VLOOKUP(F531,'[1]46974159BCSET2026'!$F:$AE,26,0)</f>
        <v>Sim</v>
      </c>
      <c r="H531" t="s">
        <v>3</v>
      </c>
      <c r="I531" s="3">
        <v>46276</v>
      </c>
      <c r="J531" t="s">
        <v>4</v>
      </c>
      <c r="K531" t="s">
        <v>742</v>
      </c>
      <c r="L531" t="s">
        <v>743</v>
      </c>
      <c r="M531" s="8">
        <v>-205.28</v>
      </c>
      <c r="N531" t="s">
        <v>0</v>
      </c>
      <c r="O531" t="s">
        <v>7</v>
      </c>
      <c r="P531" t="s">
        <v>8</v>
      </c>
    </row>
    <row r="532" spans="1:16" ht="13.95" customHeight="1" x14ac:dyDescent="0.25">
      <c r="A532" s="2" t="s">
        <v>0</v>
      </c>
      <c r="B532" t="s">
        <v>1</v>
      </c>
      <c r="C532" s="3">
        <v>46276</v>
      </c>
      <c r="D532" t="s">
        <v>2</v>
      </c>
      <c r="E532" t="s">
        <v>0</v>
      </c>
      <c r="F532" s="5">
        <v>122767</v>
      </c>
      <c r="G532" s="5" t="str">
        <f>VLOOKUP(F532,'[1]46974159BCSET2026'!$F:$AE,26,0)</f>
        <v>Sim</v>
      </c>
      <c r="H532" t="s">
        <v>3</v>
      </c>
      <c r="I532" s="3">
        <v>46276</v>
      </c>
      <c r="J532" t="s">
        <v>4</v>
      </c>
      <c r="K532" t="s">
        <v>744</v>
      </c>
      <c r="L532" t="s">
        <v>745</v>
      </c>
      <c r="M532" s="8">
        <v>-204.99</v>
      </c>
      <c r="N532" t="s">
        <v>0</v>
      </c>
      <c r="O532" t="s">
        <v>7</v>
      </c>
      <c r="P532" t="s">
        <v>8</v>
      </c>
    </row>
    <row r="533" spans="1:16" ht="13.95" customHeight="1" x14ac:dyDescent="0.25">
      <c r="A533" s="2" t="s">
        <v>0</v>
      </c>
      <c r="B533" t="s">
        <v>1</v>
      </c>
      <c r="C533" s="3">
        <v>46276</v>
      </c>
      <c r="D533" t="s">
        <v>2</v>
      </c>
      <c r="E533" t="s">
        <v>0</v>
      </c>
      <c r="F533" s="5">
        <v>122755</v>
      </c>
      <c r="G533" s="5" t="str">
        <f>VLOOKUP(F533,'[1]46974159BCSET2026'!$F:$AE,26,0)</f>
        <v>Sim</v>
      </c>
      <c r="H533" t="s">
        <v>3</v>
      </c>
      <c r="I533" s="3">
        <v>46276</v>
      </c>
      <c r="J533" t="s">
        <v>4</v>
      </c>
      <c r="K533" t="s">
        <v>746</v>
      </c>
      <c r="L533" t="s">
        <v>747</v>
      </c>
      <c r="M533" s="8">
        <v>-204.78</v>
      </c>
      <c r="N533" t="s">
        <v>0</v>
      </c>
      <c r="O533" t="s">
        <v>7</v>
      </c>
      <c r="P533" t="s">
        <v>8</v>
      </c>
    </row>
    <row r="534" spans="1:16" ht="13.95" customHeight="1" x14ac:dyDescent="0.25">
      <c r="A534" s="2" t="s">
        <v>0</v>
      </c>
      <c r="B534" t="s">
        <v>1</v>
      </c>
      <c r="C534" s="3">
        <v>46276</v>
      </c>
      <c r="D534" t="s">
        <v>2</v>
      </c>
      <c r="E534" t="s">
        <v>0</v>
      </c>
      <c r="F534" s="5">
        <v>122409</v>
      </c>
      <c r="G534" s="5" t="str">
        <f>VLOOKUP(F534,'[1]46974159BCSET2026'!$F:$AE,26,0)</f>
        <v>Sim</v>
      </c>
      <c r="H534" t="s">
        <v>3</v>
      </c>
      <c r="I534" s="3">
        <v>46276</v>
      </c>
      <c r="J534" t="s">
        <v>4</v>
      </c>
      <c r="K534" t="s">
        <v>748</v>
      </c>
      <c r="L534" t="s">
        <v>749</v>
      </c>
      <c r="M534" s="8">
        <v>-204.08</v>
      </c>
      <c r="N534" t="s">
        <v>0</v>
      </c>
      <c r="O534" t="s">
        <v>7</v>
      </c>
      <c r="P534" t="s">
        <v>8</v>
      </c>
    </row>
    <row r="535" spans="1:16" ht="13.95" customHeight="1" x14ac:dyDescent="0.25">
      <c r="A535" s="2" t="s">
        <v>0</v>
      </c>
      <c r="B535" t="s">
        <v>1</v>
      </c>
      <c r="C535" s="3">
        <v>46276</v>
      </c>
      <c r="D535" t="s">
        <v>2</v>
      </c>
      <c r="E535" t="s">
        <v>0</v>
      </c>
      <c r="F535" s="5">
        <v>122594</v>
      </c>
      <c r="G535" s="5" t="str">
        <f>VLOOKUP(F535,'[1]46974159BCSET2026'!$F:$AE,26,0)</f>
        <v>Sim</v>
      </c>
      <c r="H535" t="s">
        <v>3</v>
      </c>
      <c r="I535" s="3">
        <v>46276</v>
      </c>
      <c r="J535" t="s">
        <v>4</v>
      </c>
      <c r="K535" t="s">
        <v>750</v>
      </c>
      <c r="L535" t="s">
        <v>751</v>
      </c>
      <c r="M535" s="8">
        <v>-204</v>
      </c>
      <c r="N535" t="s">
        <v>0</v>
      </c>
      <c r="O535" t="s">
        <v>7</v>
      </c>
      <c r="P535" t="s">
        <v>8</v>
      </c>
    </row>
    <row r="536" spans="1:16" ht="13.95" customHeight="1" x14ac:dyDescent="0.25">
      <c r="A536" s="2" t="s">
        <v>0</v>
      </c>
      <c r="B536" t="s">
        <v>1</v>
      </c>
      <c r="C536" s="3">
        <v>46276</v>
      </c>
      <c r="D536" t="s">
        <v>2</v>
      </c>
      <c r="E536" t="s">
        <v>0</v>
      </c>
      <c r="F536" s="5">
        <v>122300</v>
      </c>
      <c r="G536" s="5" t="str">
        <f>VLOOKUP(F536,'[1]46974159BCSET2026'!$F:$AE,26,0)</f>
        <v>Sim</v>
      </c>
      <c r="H536" t="s">
        <v>3</v>
      </c>
      <c r="I536" s="3">
        <v>46276</v>
      </c>
      <c r="J536" t="s">
        <v>4</v>
      </c>
      <c r="K536" t="s">
        <v>752</v>
      </c>
      <c r="L536" t="s">
        <v>753</v>
      </c>
      <c r="M536" s="8">
        <v>-203.22</v>
      </c>
      <c r="N536" t="s">
        <v>0</v>
      </c>
      <c r="O536" t="s">
        <v>7</v>
      </c>
      <c r="P536" t="s">
        <v>8</v>
      </c>
    </row>
    <row r="537" spans="1:16" ht="13.95" customHeight="1" x14ac:dyDescent="0.25">
      <c r="A537" s="2" t="s">
        <v>0</v>
      </c>
      <c r="B537" t="s">
        <v>1</v>
      </c>
      <c r="C537" s="3">
        <v>46276</v>
      </c>
      <c r="D537" t="s">
        <v>2</v>
      </c>
      <c r="E537" t="s">
        <v>0</v>
      </c>
      <c r="F537" s="5">
        <v>122301</v>
      </c>
      <c r="G537" s="5" t="str">
        <f>VLOOKUP(F537,'[1]46974159BCSET2026'!$F:$AE,26,0)</f>
        <v>Sim</v>
      </c>
      <c r="H537" t="s">
        <v>3</v>
      </c>
      <c r="I537" s="3">
        <v>46276</v>
      </c>
      <c r="J537" t="s">
        <v>4</v>
      </c>
      <c r="K537" t="s">
        <v>754</v>
      </c>
      <c r="L537" t="s">
        <v>755</v>
      </c>
      <c r="M537" s="8">
        <v>-203.22</v>
      </c>
      <c r="N537" t="s">
        <v>0</v>
      </c>
      <c r="O537" t="s">
        <v>7</v>
      </c>
      <c r="P537" t="s">
        <v>8</v>
      </c>
    </row>
    <row r="538" spans="1:16" ht="13.95" customHeight="1" x14ac:dyDescent="0.25">
      <c r="A538" s="2" t="s">
        <v>0</v>
      </c>
      <c r="B538" t="s">
        <v>1</v>
      </c>
      <c r="C538" s="3">
        <v>46276</v>
      </c>
      <c r="D538" t="s">
        <v>2</v>
      </c>
      <c r="E538" t="s">
        <v>0</v>
      </c>
      <c r="F538" s="5">
        <v>122577</v>
      </c>
      <c r="G538" s="5" t="str">
        <f>VLOOKUP(F538,'[1]46974159BCSET2026'!$F:$AE,26,0)</f>
        <v>Sim</v>
      </c>
      <c r="H538" t="s">
        <v>3</v>
      </c>
      <c r="I538" s="3">
        <v>46276</v>
      </c>
      <c r="J538" t="s">
        <v>4</v>
      </c>
      <c r="K538" t="s">
        <v>756</v>
      </c>
      <c r="L538" t="s">
        <v>757</v>
      </c>
      <c r="M538" s="8">
        <v>-203.17</v>
      </c>
      <c r="N538" t="s">
        <v>0</v>
      </c>
      <c r="O538" t="s">
        <v>7</v>
      </c>
      <c r="P538" t="s">
        <v>8</v>
      </c>
    </row>
    <row r="539" spans="1:16" ht="13.95" customHeight="1" x14ac:dyDescent="0.25">
      <c r="A539" s="2" t="s">
        <v>0</v>
      </c>
      <c r="B539" t="s">
        <v>1</v>
      </c>
      <c r="C539" s="3">
        <v>46276</v>
      </c>
      <c r="D539" t="s">
        <v>2</v>
      </c>
      <c r="E539" t="s">
        <v>0</v>
      </c>
      <c r="F539" s="5">
        <v>122758</v>
      </c>
      <c r="G539" s="5" t="str">
        <f>VLOOKUP(F539,'[1]46974159BCSET2026'!$F:$AE,26,0)</f>
        <v>Sim</v>
      </c>
      <c r="H539" t="s">
        <v>3</v>
      </c>
      <c r="I539" s="3">
        <v>46276</v>
      </c>
      <c r="J539" t="s">
        <v>4</v>
      </c>
      <c r="K539" t="s">
        <v>758</v>
      </c>
      <c r="L539" t="s">
        <v>759</v>
      </c>
      <c r="M539" s="8">
        <v>-203.17</v>
      </c>
      <c r="N539" t="s">
        <v>0</v>
      </c>
      <c r="O539" t="s">
        <v>7</v>
      </c>
      <c r="P539" t="s">
        <v>8</v>
      </c>
    </row>
    <row r="540" spans="1:16" ht="13.95" customHeight="1" x14ac:dyDescent="0.25">
      <c r="A540" s="2" t="s">
        <v>0</v>
      </c>
      <c r="B540" t="s">
        <v>1</v>
      </c>
      <c r="C540" s="3">
        <v>46276</v>
      </c>
      <c r="D540" t="s">
        <v>2</v>
      </c>
      <c r="E540" t="s">
        <v>0</v>
      </c>
      <c r="F540" s="5">
        <v>122216</v>
      </c>
      <c r="G540" s="5" t="str">
        <f>VLOOKUP(F540,'[1]46974159BCSET2026'!$F:$AE,26,0)</f>
        <v>Sim</v>
      </c>
      <c r="H540" t="s">
        <v>3</v>
      </c>
      <c r="I540" s="3">
        <v>46276</v>
      </c>
      <c r="J540" t="s">
        <v>4</v>
      </c>
      <c r="K540" t="s">
        <v>760</v>
      </c>
      <c r="L540" t="s">
        <v>761</v>
      </c>
      <c r="M540" s="8">
        <v>-202.04</v>
      </c>
      <c r="N540" t="s">
        <v>0</v>
      </c>
      <c r="O540" t="s">
        <v>7</v>
      </c>
      <c r="P540" t="s">
        <v>8</v>
      </c>
    </row>
    <row r="541" spans="1:16" ht="13.95" customHeight="1" x14ac:dyDescent="0.25">
      <c r="A541" s="2" t="s">
        <v>0</v>
      </c>
      <c r="B541" t="s">
        <v>1</v>
      </c>
      <c r="C541" s="3">
        <v>46276</v>
      </c>
      <c r="D541" t="s">
        <v>2</v>
      </c>
      <c r="E541" t="s">
        <v>0</v>
      </c>
      <c r="F541" s="5">
        <v>122242</v>
      </c>
      <c r="G541" s="5" t="str">
        <f>VLOOKUP(F541,'[1]46974159BCSET2026'!$F:$AE,26,0)</f>
        <v>Sim</v>
      </c>
      <c r="H541" t="s">
        <v>3</v>
      </c>
      <c r="I541" s="3">
        <v>46276</v>
      </c>
      <c r="J541" t="s">
        <v>4</v>
      </c>
      <c r="K541" t="s">
        <v>762</v>
      </c>
      <c r="L541" t="s">
        <v>763</v>
      </c>
      <c r="M541" s="8">
        <v>-202.04</v>
      </c>
      <c r="N541" t="s">
        <v>0</v>
      </c>
      <c r="O541" t="s">
        <v>7</v>
      </c>
      <c r="P541" t="s">
        <v>8</v>
      </c>
    </row>
    <row r="542" spans="1:16" ht="13.95" customHeight="1" x14ac:dyDescent="0.25">
      <c r="A542" s="2" t="s">
        <v>0</v>
      </c>
      <c r="B542" t="s">
        <v>1</v>
      </c>
      <c r="C542" s="3">
        <v>46276</v>
      </c>
      <c r="D542" t="s">
        <v>2</v>
      </c>
      <c r="E542" t="s">
        <v>0</v>
      </c>
      <c r="F542" s="5">
        <v>122255</v>
      </c>
      <c r="G542" s="5" t="str">
        <f>VLOOKUP(F542,'[1]46974159BCSET2026'!$F:$AE,26,0)</f>
        <v>Sim</v>
      </c>
      <c r="H542" t="s">
        <v>3</v>
      </c>
      <c r="I542" s="3">
        <v>46276</v>
      </c>
      <c r="J542" t="s">
        <v>4</v>
      </c>
      <c r="K542" t="s">
        <v>764</v>
      </c>
      <c r="L542" t="s">
        <v>765</v>
      </c>
      <c r="M542" s="8">
        <v>-202.04</v>
      </c>
      <c r="N542" t="s">
        <v>0</v>
      </c>
      <c r="O542" t="s">
        <v>7</v>
      </c>
      <c r="P542" t="s">
        <v>8</v>
      </c>
    </row>
    <row r="543" spans="1:16" ht="13.95" customHeight="1" x14ac:dyDescent="0.25">
      <c r="A543" s="2" t="s">
        <v>0</v>
      </c>
      <c r="B543" t="s">
        <v>1</v>
      </c>
      <c r="C543" s="3">
        <v>46276</v>
      </c>
      <c r="D543" t="s">
        <v>2</v>
      </c>
      <c r="E543" t="s">
        <v>0</v>
      </c>
      <c r="F543" s="5">
        <v>122517</v>
      </c>
      <c r="G543" s="5" t="str">
        <f>VLOOKUP(F543,'[1]46974159BCSET2026'!$F:$AE,26,0)</f>
        <v>Sim</v>
      </c>
      <c r="H543" t="s">
        <v>3</v>
      </c>
      <c r="I543" s="3">
        <v>46276</v>
      </c>
      <c r="J543" t="s">
        <v>4</v>
      </c>
      <c r="K543" t="s">
        <v>766</v>
      </c>
      <c r="L543" t="s">
        <v>767</v>
      </c>
      <c r="M543" s="8">
        <v>-202.04</v>
      </c>
      <c r="N543" t="s">
        <v>0</v>
      </c>
      <c r="O543" t="s">
        <v>7</v>
      </c>
      <c r="P543" t="s">
        <v>8</v>
      </c>
    </row>
    <row r="544" spans="1:16" ht="13.95" customHeight="1" x14ac:dyDescent="0.25">
      <c r="A544" s="2" t="s">
        <v>0</v>
      </c>
      <c r="B544" t="s">
        <v>1</v>
      </c>
      <c r="C544" s="3">
        <v>46276</v>
      </c>
      <c r="D544" t="s">
        <v>2</v>
      </c>
      <c r="E544" t="s">
        <v>0</v>
      </c>
      <c r="F544" s="5">
        <v>122666</v>
      </c>
      <c r="G544" s="5" t="str">
        <f>VLOOKUP(F544,'[1]46974159BCSET2026'!$F:$AE,26,0)</f>
        <v>Sim</v>
      </c>
      <c r="H544" t="s">
        <v>3</v>
      </c>
      <c r="I544" s="3">
        <v>46276</v>
      </c>
      <c r="J544" t="s">
        <v>4</v>
      </c>
      <c r="K544" t="s">
        <v>768</v>
      </c>
      <c r="L544" t="s">
        <v>769</v>
      </c>
      <c r="M544" s="8">
        <v>-202.04</v>
      </c>
      <c r="N544" t="s">
        <v>0</v>
      </c>
      <c r="O544" t="s">
        <v>7</v>
      </c>
      <c r="P544" t="s">
        <v>8</v>
      </c>
    </row>
    <row r="545" spans="1:16" ht="13.95" customHeight="1" x14ac:dyDescent="0.25">
      <c r="A545" s="2" t="s">
        <v>0</v>
      </c>
      <c r="B545" t="s">
        <v>1</v>
      </c>
      <c r="C545" s="3">
        <v>46276</v>
      </c>
      <c r="D545" t="s">
        <v>2</v>
      </c>
      <c r="E545" t="s">
        <v>0</v>
      </c>
      <c r="F545" s="5">
        <v>122684</v>
      </c>
      <c r="G545" s="5" t="str">
        <f>VLOOKUP(F545,'[1]46974159BCSET2026'!$F:$AE,26,0)</f>
        <v>Sim</v>
      </c>
      <c r="H545" t="s">
        <v>3</v>
      </c>
      <c r="I545" s="3">
        <v>46276</v>
      </c>
      <c r="J545" t="s">
        <v>4</v>
      </c>
      <c r="K545" t="s">
        <v>770</v>
      </c>
      <c r="L545" t="s">
        <v>771</v>
      </c>
      <c r="M545" s="8">
        <v>-202.04</v>
      </c>
      <c r="N545" t="s">
        <v>0</v>
      </c>
      <c r="O545" t="s">
        <v>7</v>
      </c>
      <c r="P545" t="s">
        <v>8</v>
      </c>
    </row>
    <row r="546" spans="1:16" ht="13.95" customHeight="1" x14ac:dyDescent="0.25">
      <c r="A546" s="2" t="s">
        <v>0</v>
      </c>
      <c r="B546" t="s">
        <v>1</v>
      </c>
      <c r="C546" s="3">
        <v>46276</v>
      </c>
      <c r="D546" t="s">
        <v>2</v>
      </c>
      <c r="E546" t="s">
        <v>0</v>
      </c>
      <c r="F546" s="5">
        <v>122605</v>
      </c>
      <c r="G546" s="5" t="str">
        <f>VLOOKUP(F546,'[1]46974159BCSET2026'!$F:$AE,26,0)</f>
        <v>Sim</v>
      </c>
      <c r="H546" t="s">
        <v>3</v>
      </c>
      <c r="I546" s="3">
        <v>46276</v>
      </c>
      <c r="J546" t="s">
        <v>4</v>
      </c>
      <c r="K546" t="s">
        <v>772</v>
      </c>
      <c r="L546" t="s">
        <v>773</v>
      </c>
      <c r="M546" s="8">
        <v>-202.04</v>
      </c>
      <c r="N546" t="s">
        <v>0</v>
      </c>
      <c r="O546" t="s">
        <v>7</v>
      </c>
      <c r="P546" t="s">
        <v>8</v>
      </c>
    </row>
    <row r="547" spans="1:16" ht="13.95" customHeight="1" x14ac:dyDescent="0.25">
      <c r="A547" s="2" t="s">
        <v>0</v>
      </c>
      <c r="B547" t="s">
        <v>1</v>
      </c>
      <c r="C547" s="3">
        <v>46276</v>
      </c>
      <c r="D547" t="s">
        <v>2</v>
      </c>
      <c r="E547" t="s">
        <v>0</v>
      </c>
      <c r="F547" s="5">
        <v>122610</v>
      </c>
      <c r="G547" s="5" t="str">
        <f>VLOOKUP(F547,'[1]46974159BCSET2026'!$F:$AE,26,0)</f>
        <v>Sim</v>
      </c>
      <c r="H547" t="s">
        <v>3</v>
      </c>
      <c r="I547" s="3">
        <v>46276</v>
      </c>
      <c r="J547" t="s">
        <v>4</v>
      </c>
      <c r="K547" t="s">
        <v>774</v>
      </c>
      <c r="L547" t="s">
        <v>775</v>
      </c>
      <c r="M547" s="8">
        <v>-202.04</v>
      </c>
      <c r="N547" t="s">
        <v>0</v>
      </c>
      <c r="O547" t="s">
        <v>7</v>
      </c>
      <c r="P547" t="s">
        <v>8</v>
      </c>
    </row>
    <row r="548" spans="1:16" ht="13.95" customHeight="1" x14ac:dyDescent="0.25">
      <c r="A548" s="2" t="s">
        <v>0</v>
      </c>
      <c r="B548" t="s">
        <v>1</v>
      </c>
      <c r="C548" s="3">
        <v>46276</v>
      </c>
      <c r="D548" t="s">
        <v>2</v>
      </c>
      <c r="E548" t="s">
        <v>0</v>
      </c>
      <c r="F548" s="5">
        <v>122450</v>
      </c>
      <c r="G548" s="5" t="str">
        <f>VLOOKUP(F548,'[1]46974159BCSET2026'!$F:$AE,26,0)</f>
        <v>Sim</v>
      </c>
      <c r="H548" t="s">
        <v>3</v>
      </c>
      <c r="I548" s="3">
        <v>46276</v>
      </c>
      <c r="J548" t="s">
        <v>4</v>
      </c>
      <c r="K548" t="s">
        <v>776</v>
      </c>
      <c r="L548" t="s">
        <v>777</v>
      </c>
      <c r="M548" s="8">
        <v>-202.04</v>
      </c>
      <c r="N548" t="s">
        <v>0</v>
      </c>
      <c r="O548" t="s">
        <v>7</v>
      </c>
      <c r="P548" t="s">
        <v>8</v>
      </c>
    </row>
    <row r="549" spans="1:16" ht="13.95" customHeight="1" x14ac:dyDescent="0.25">
      <c r="A549" s="2" t="s">
        <v>0</v>
      </c>
      <c r="B549" t="s">
        <v>1</v>
      </c>
      <c r="C549" s="3">
        <v>46276</v>
      </c>
      <c r="D549" t="s">
        <v>2</v>
      </c>
      <c r="E549" t="s">
        <v>0</v>
      </c>
      <c r="F549" s="5">
        <v>122789</v>
      </c>
      <c r="G549" s="5" t="str">
        <f>VLOOKUP(F549,'[1]46974159BCSET2026'!$F:$AE,26,0)</f>
        <v>Sim</v>
      </c>
      <c r="H549" t="s">
        <v>3</v>
      </c>
      <c r="I549" s="3">
        <v>46276</v>
      </c>
      <c r="J549" t="s">
        <v>4</v>
      </c>
      <c r="K549" t="s">
        <v>778</v>
      </c>
      <c r="L549" t="s">
        <v>779</v>
      </c>
      <c r="M549" s="8">
        <v>-202.03</v>
      </c>
      <c r="N549" t="s">
        <v>0</v>
      </c>
      <c r="O549" t="s">
        <v>7</v>
      </c>
      <c r="P549" t="s">
        <v>8</v>
      </c>
    </row>
    <row r="550" spans="1:16" ht="13.95" customHeight="1" x14ac:dyDescent="0.25">
      <c r="A550" s="2" t="s">
        <v>0</v>
      </c>
      <c r="B550" t="s">
        <v>1</v>
      </c>
      <c r="C550" s="3">
        <v>46276</v>
      </c>
      <c r="D550" t="s">
        <v>2</v>
      </c>
      <c r="E550" t="s">
        <v>0</v>
      </c>
      <c r="F550" s="5">
        <v>122656</v>
      </c>
      <c r="G550" s="5" t="str">
        <f>VLOOKUP(F550,'[1]46974159BCSET2026'!$F:$AE,26,0)</f>
        <v>Sim</v>
      </c>
      <c r="H550" t="s">
        <v>3</v>
      </c>
      <c r="I550" s="3">
        <v>46276</v>
      </c>
      <c r="J550" t="s">
        <v>4</v>
      </c>
      <c r="K550" t="s">
        <v>211</v>
      </c>
      <c r="L550" t="s">
        <v>212</v>
      </c>
      <c r="M550" s="8">
        <v>-201.32</v>
      </c>
      <c r="N550" t="s">
        <v>0</v>
      </c>
      <c r="O550" t="s">
        <v>7</v>
      </c>
      <c r="P550" t="s">
        <v>8</v>
      </c>
    </row>
    <row r="551" spans="1:16" ht="13.95" customHeight="1" x14ac:dyDescent="0.25">
      <c r="A551" s="2" t="s">
        <v>0</v>
      </c>
      <c r="B551" t="s">
        <v>1</v>
      </c>
      <c r="C551" s="3">
        <v>46276</v>
      </c>
      <c r="D551" t="s">
        <v>2</v>
      </c>
      <c r="E551" t="s">
        <v>0</v>
      </c>
      <c r="F551" s="5">
        <v>122533</v>
      </c>
      <c r="G551" s="5" t="str">
        <f>VLOOKUP(F551,'[1]46974159BCSET2026'!$F:$AE,26,0)</f>
        <v>Sim</v>
      </c>
      <c r="H551" t="s">
        <v>3</v>
      </c>
      <c r="I551" s="3">
        <v>46276</v>
      </c>
      <c r="J551" t="s">
        <v>4</v>
      </c>
      <c r="K551" t="s">
        <v>780</v>
      </c>
      <c r="L551" t="s">
        <v>781</v>
      </c>
      <c r="M551" s="8">
        <v>-200</v>
      </c>
      <c r="N551" t="s">
        <v>0</v>
      </c>
      <c r="O551" t="s">
        <v>7</v>
      </c>
      <c r="P551" t="s">
        <v>8</v>
      </c>
    </row>
    <row r="552" spans="1:16" ht="13.95" customHeight="1" x14ac:dyDescent="0.25">
      <c r="A552" s="2" t="s">
        <v>0</v>
      </c>
      <c r="B552" t="s">
        <v>1</v>
      </c>
      <c r="C552" s="3">
        <v>46276</v>
      </c>
      <c r="D552" t="s">
        <v>2</v>
      </c>
      <c r="E552" t="s">
        <v>0</v>
      </c>
      <c r="F552" s="5">
        <v>122460</v>
      </c>
      <c r="G552" s="5" t="str">
        <f>VLOOKUP(F552,'[1]46974159BCSET2026'!$F:$AE,26,0)</f>
        <v>Sim</v>
      </c>
      <c r="H552" t="s">
        <v>3</v>
      </c>
      <c r="I552" s="3">
        <v>46276</v>
      </c>
      <c r="J552" t="s">
        <v>4</v>
      </c>
      <c r="K552" t="s">
        <v>782</v>
      </c>
      <c r="L552" t="s">
        <v>783</v>
      </c>
      <c r="M552" s="8">
        <v>-200</v>
      </c>
      <c r="N552" t="s">
        <v>0</v>
      </c>
      <c r="O552" t="s">
        <v>7</v>
      </c>
      <c r="P552" t="s">
        <v>8</v>
      </c>
    </row>
    <row r="553" spans="1:16" ht="13.95" customHeight="1" x14ac:dyDescent="0.25">
      <c r="A553" s="2" t="s">
        <v>0</v>
      </c>
      <c r="B553" t="s">
        <v>1</v>
      </c>
      <c r="C553" s="3">
        <v>46276</v>
      </c>
      <c r="D553" t="s">
        <v>2</v>
      </c>
      <c r="E553" t="s">
        <v>0</v>
      </c>
      <c r="F553" s="5">
        <v>122462</v>
      </c>
      <c r="G553" s="5" t="str">
        <f>VLOOKUP(F553,'[1]46974159BCSET2026'!$F:$AE,26,0)</f>
        <v>Sim</v>
      </c>
      <c r="H553" t="s">
        <v>3</v>
      </c>
      <c r="I553" s="3">
        <v>46276</v>
      </c>
      <c r="J553" t="s">
        <v>4</v>
      </c>
      <c r="K553" t="s">
        <v>784</v>
      </c>
      <c r="L553" t="s">
        <v>785</v>
      </c>
      <c r="M553" s="8">
        <v>-200</v>
      </c>
      <c r="N553" t="s">
        <v>0</v>
      </c>
      <c r="O553" t="s">
        <v>7</v>
      </c>
      <c r="P553" t="s">
        <v>8</v>
      </c>
    </row>
    <row r="554" spans="1:16" ht="13.95" customHeight="1" x14ac:dyDescent="0.25">
      <c r="A554" s="2" t="s">
        <v>0</v>
      </c>
      <c r="B554" t="s">
        <v>1</v>
      </c>
      <c r="C554" s="3">
        <v>46276</v>
      </c>
      <c r="D554" t="s">
        <v>2</v>
      </c>
      <c r="E554" t="s">
        <v>0</v>
      </c>
      <c r="F554" s="5">
        <v>122619</v>
      </c>
      <c r="G554" s="5" t="str">
        <f>VLOOKUP(F554,'[1]46974159BCSET2026'!$F:$AE,26,0)</f>
        <v>Sim</v>
      </c>
      <c r="H554" t="s">
        <v>3</v>
      </c>
      <c r="I554" s="3">
        <v>46276</v>
      </c>
      <c r="J554" t="s">
        <v>4</v>
      </c>
      <c r="K554" t="s">
        <v>786</v>
      </c>
      <c r="L554" t="s">
        <v>787</v>
      </c>
      <c r="M554" s="8">
        <v>-200</v>
      </c>
      <c r="N554" t="s">
        <v>0</v>
      </c>
      <c r="O554" t="s">
        <v>7</v>
      </c>
      <c r="P554" t="s">
        <v>8</v>
      </c>
    </row>
    <row r="555" spans="1:16" ht="13.95" customHeight="1" x14ac:dyDescent="0.25">
      <c r="A555" s="2" t="s">
        <v>0</v>
      </c>
      <c r="B555" t="s">
        <v>1</v>
      </c>
      <c r="C555" s="3">
        <v>46276</v>
      </c>
      <c r="D555" t="s">
        <v>2</v>
      </c>
      <c r="E555" t="s">
        <v>0</v>
      </c>
      <c r="F555" s="5">
        <v>122542</v>
      </c>
      <c r="G555" s="5" t="str">
        <f>VLOOKUP(F555,'[1]46974159BCSET2026'!$F:$AE,26,0)</f>
        <v>Sim</v>
      </c>
      <c r="H555" t="s">
        <v>3</v>
      </c>
      <c r="I555" s="3">
        <v>46276</v>
      </c>
      <c r="J555" t="s">
        <v>4</v>
      </c>
      <c r="K555" t="s">
        <v>788</v>
      </c>
      <c r="L555" t="s">
        <v>789</v>
      </c>
      <c r="M555" s="8">
        <v>-199.84</v>
      </c>
      <c r="N555" t="s">
        <v>0</v>
      </c>
      <c r="O555" t="s">
        <v>7</v>
      </c>
      <c r="P555" t="s">
        <v>8</v>
      </c>
    </row>
    <row r="556" spans="1:16" ht="13.95" customHeight="1" x14ac:dyDescent="0.25">
      <c r="A556" s="2" t="s">
        <v>0</v>
      </c>
      <c r="B556" t="s">
        <v>1</v>
      </c>
      <c r="C556" s="3">
        <v>46276</v>
      </c>
      <c r="D556" t="s">
        <v>2</v>
      </c>
      <c r="E556" t="s">
        <v>0</v>
      </c>
      <c r="F556" s="5">
        <v>122210</v>
      </c>
      <c r="G556" s="5" t="str">
        <f>VLOOKUP(F556,'[1]46974159BCSET2026'!$F:$AE,26,0)</f>
        <v>Sim</v>
      </c>
      <c r="H556" t="s">
        <v>3</v>
      </c>
      <c r="I556" s="3">
        <v>46276</v>
      </c>
      <c r="J556" t="s">
        <v>4</v>
      </c>
      <c r="K556" t="s">
        <v>221</v>
      </c>
      <c r="L556" t="s">
        <v>222</v>
      </c>
      <c r="M556" s="8">
        <v>-198.21</v>
      </c>
      <c r="N556" t="s">
        <v>0</v>
      </c>
      <c r="O556" t="s">
        <v>7</v>
      </c>
      <c r="P556" t="s">
        <v>8</v>
      </c>
    </row>
    <row r="557" spans="1:16" ht="13.95" customHeight="1" x14ac:dyDescent="0.25">
      <c r="A557" s="2" t="s">
        <v>0</v>
      </c>
      <c r="B557" t="s">
        <v>1</v>
      </c>
      <c r="C557" s="3">
        <v>46276</v>
      </c>
      <c r="D557" t="s">
        <v>2</v>
      </c>
      <c r="E557" t="s">
        <v>0</v>
      </c>
      <c r="F557" s="5">
        <v>122793</v>
      </c>
      <c r="G557" s="5" t="str">
        <f>VLOOKUP(F557,'[1]46974159BCSET2026'!$F:$AE,26,0)</f>
        <v>Sim</v>
      </c>
      <c r="H557" t="s">
        <v>3</v>
      </c>
      <c r="I557" s="3">
        <v>46276</v>
      </c>
      <c r="J557" t="s">
        <v>4</v>
      </c>
      <c r="K557" t="s">
        <v>790</v>
      </c>
      <c r="L557" t="s">
        <v>791</v>
      </c>
      <c r="M557" s="8">
        <v>-197.96</v>
      </c>
      <c r="N557" t="s">
        <v>0</v>
      </c>
      <c r="O557" t="s">
        <v>7</v>
      </c>
      <c r="P557" t="s">
        <v>8</v>
      </c>
    </row>
    <row r="558" spans="1:16" ht="13.95" customHeight="1" x14ac:dyDescent="0.25">
      <c r="A558" s="2" t="s">
        <v>0</v>
      </c>
      <c r="B558" t="s">
        <v>1</v>
      </c>
      <c r="C558" s="3">
        <v>46276</v>
      </c>
      <c r="D558" t="s">
        <v>2</v>
      </c>
      <c r="E558" t="s">
        <v>0</v>
      </c>
      <c r="F558" s="5">
        <v>122391</v>
      </c>
      <c r="G558" s="5" t="str">
        <f>VLOOKUP(F558,'[1]46974159BCSET2026'!$F:$AE,26,0)</f>
        <v>Sim</v>
      </c>
      <c r="H558" t="s">
        <v>3</v>
      </c>
      <c r="I558" s="3">
        <v>46276</v>
      </c>
      <c r="J558" t="s">
        <v>4</v>
      </c>
      <c r="K558" t="s">
        <v>792</v>
      </c>
      <c r="L558" t="s">
        <v>793</v>
      </c>
      <c r="M558" s="8">
        <v>-197.76</v>
      </c>
      <c r="N558" t="s">
        <v>0</v>
      </c>
      <c r="O558" t="s">
        <v>7</v>
      </c>
      <c r="P558" t="s">
        <v>8</v>
      </c>
    </row>
    <row r="559" spans="1:16" ht="13.95" customHeight="1" x14ac:dyDescent="0.25">
      <c r="A559" s="2" t="s">
        <v>0</v>
      </c>
      <c r="B559" t="s">
        <v>1</v>
      </c>
      <c r="C559" s="3">
        <v>46276</v>
      </c>
      <c r="D559" t="s">
        <v>2</v>
      </c>
      <c r="E559" t="s">
        <v>0</v>
      </c>
      <c r="F559" s="5">
        <v>122518</v>
      </c>
      <c r="G559" s="5" t="str">
        <f>VLOOKUP(F559,'[1]46974159BCSET2026'!$F:$AE,26,0)</f>
        <v>Sim</v>
      </c>
      <c r="H559" t="s">
        <v>3</v>
      </c>
      <c r="I559" s="3">
        <v>46276</v>
      </c>
      <c r="J559" t="s">
        <v>4</v>
      </c>
      <c r="K559" t="s">
        <v>794</v>
      </c>
      <c r="L559" t="s">
        <v>795</v>
      </c>
      <c r="M559" s="8">
        <v>-197.37</v>
      </c>
      <c r="N559" t="s">
        <v>0</v>
      </c>
      <c r="O559" t="s">
        <v>7</v>
      </c>
      <c r="P559" t="s">
        <v>8</v>
      </c>
    </row>
    <row r="560" spans="1:16" ht="13.95" customHeight="1" x14ac:dyDescent="0.25">
      <c r="A560" s="2" t="s">
        <v>0</v>
      </c>
      <c r="B560" t="s">
        <v>1</v>
      </c>
      <c r="C560" s="3">
        <v>46276</v>
      </c>
      <c r="D560" t="s">
        <v>2</v>
      </c>
      <c r="E560" t="s">
        <v>0</v>
      </c>
      <c r="F560" s="5">
        <v>122410</v>
      </c>
      <c r="G560" s="5" t="str">
        <f>VLOOKUP(F560,'[1]46974159BCSET2026'!$F:$AE,26,0)</f>
        <v>Sim</v>
      </c>
      <c r="H560" t="s">
        <v>3</v>
      </c>
      <c r="I560" s="3">
        <v>46276</v>
      </c>
      <c r="J560" t="s">
        <v>4</v>
      </c>
      <c r="K560" t="s">
        <v>219</v>
      </c>
      <c r="L560" t="s">
        <v>220</v>
      </c>
      <c r="M560" s="8">
        <v>-195.92</v>
      </c>
      <c r="N560" t="s">
        <v>0</v>
      </c>
      <c r="O560" t="s">
        <v>7</v>
      </c>
      <c r="P560" t="s">
        <v>8</v>
      </c>
    </row>
    <row r="561" spans="1:16" ht="13.95" customHeight="1" x14ac:dyDescent="0.25">
      <c r="A561" s="2" t="s">
        <v>0</v>
      </c>
      <c r="B561" t="s">
        <v>1</v>
      </c>
      <c r="C561" s="3">
        <v>46276</v>
      </c>
      <c r="D561" t="s">
        <v>2</v>
      </c>
      <c r="E561" t="s">
        <v>0</v>
      </c>
      <c r="F561" s="5">
        <v>122609</v>
      </c>
      <c r="G561" s="5" t="str">
        <f>VLOOKUP(F561,'[1]46974159BCSET2026'!$F:$AE,26,0)</f>
        <v>Sim</v>
      </c>
      <c r="H561" t="s">
        <v>3</v>
      </c>
      <c r="I561" s="3">
        <v>46276</v>
      </c>
      <c r="J561" t="s">
        <v>4</v>
      </c>
      <c r="K561" t="s">
        <v>796</v>
      </c>
      <c r="L561" t="s">
        <v>797</v>
      </c>
      <c r="M561" s="8">
        <v>-195.92</v>
      </c>
      <c r="N561" t="s">
        <v>0</v>
      </c>
      <c r="O561" t="s">
        <v>7</v>
      </c>
      <c r="P561" t="s">
        <v>8</v>
      </c>
    </row>
    <row r="562" spans="1:16" ht="13.95" customHeight="1" x14ac:dyDescent="0.25">
      <c r="A562" s="2" t="s">
        <v>0</v>
      </c>
      <c r="B562" t="s">
        <v>1</v>
      </c>
      <c r="C562" s="3">
        <v>46276</v>
      </c>
      <c r="D562" t="s">
        <v>2</v>
      </c>
      <c r="E562" t="s">
        <v>0</v>
      </c>
      <c r="F562" s="5">
        <v>122465</v>
      </c>
      <c r="G562" s="5" t="str">
        <f>VLOOKUP(F562,'[1]46974159BCSET2026'!$F:$AE,26,0)</f>
        <v>Sim</v>
      </c>
      <c r="H562" t="s">
        <v>3</v>
      </c>
      <c r="I562" s="3">
        <v>46276</v>
      </c>
      <c r="J562" t="s">
        <v>4</v>
      </c>
      <c r="K562" t="s">
        <v>798</v>
      </c>
      <c r="L562" t="s">
        <v>799</v>
      </c>
      <c r="M562" s="8">
        <v>-195.92</v>
      </c>
      <c r="N562" t="s">
        <v>0</v>
      </c>
      <c r="O562" t="s">
        <v>7</v>
      </c>
      <c r="P562" t="s">
        <v>8</v>
      </c>
    </row>
    <row r="563" spans="1:16" ht="13.95" customHeight="1" x14ac:dyDescent="0.25">
      <c r="A563" s="2" t="s">
        <v>0</v>
      </c>
      <c r="B563" t="s">
        <v>1</v>
      </c>
      <c r="C563" s="3">
        <v>46276</v>
      </c>
      <c r="D563" t="s">
        <v>2</v>
      </c>
      <c r="E563" t="s">
        <v>0</v>
      </c>
      <c r="F563" s="5">
        <v>122799</v>
      </c>
      <c r="G563" s="5" t="str">
        <f>VLOOKUP(F563,'[1]46974159BCSET2026'!$F:$AE,26,0)</f>
        <v>Sim</v>
      </c>
      <c r="H563" t="s">
        <v>3</v>
      </c>
      <c r="I563" s="3">
        <v>46276</v>
      </c>
      <c r="J563" t="s">
        <v>4</v>
      </c>
      <c r="K563" t="s">
        <v>800</v>
      </c>
      <c r="L563" t="s">
        <v>801</v>
      </c>
      <c r="M563" s="8">
        <v>-195.92</v>
      </c>
      <c r="N563" t="s">
        <v>0</v>
      </c>
      <c r="O563" t="s">
        <v>7</v>
      </c>
      <c r="P563" t="s">
        <v>8</v>
      </c>
    </row>
    <row r="564" spans="1:16" ht="13.95" customHeight="1" x14ac:dyDescent="0.25">
      <c r="A564" s="2" t="s">
        <v>0</v>
      </c>
      <c r="B564" t="s">
        <v>1</v>
      </c>
      <c r="C564" s="3">
        <v>46276</v>
      </c>
      <c r="D564" t="s">
        <v>2</v>
      </c>
      <c r="E564" t="s">
        <v>0</v>
      </c>
      <c r="F564" s="5">
        <v>122468</v>
      </c>
      <c r="G564" s="5" t="str">
        <f>VLOOKUP(F564,'[1]46974159BCSET2026'!$F:$AE,26,0)</f>
        <v>Sim</v>
      </c>
      <c r="H564" t="s">
        <v>3</v>
      </c>
      <c r="I564" s="3">
        <v>46276</v>
      </c>
      <c r="J564" t="s">
        <v>4</v>
      </c>
      <c r="K564" t="s">
        <v>802</v>
      </c>
      <c r="L564" t="s">
        <v>803</v>
      </c>
      <c r="M564" s="8">
        <v>-195.92</v>
      </c>
      <c r="N564" t="s">
        <v>0</v>
      </c>
      <c r="O564" t="s">
        <v>7</v>
      </c>
      <c r="P564" t="s">
        <v>8</v>
      </c>
    </row>
    <row r="565" spans="1:16" ht="13.95" customHeight="1" x14ac:dyDescent="0.25">
      <c r="A565" s="2" t="s">
        <v>0</v>
      </c>
      <c r="B565" t="s">
        <v>1</v>
      </c>
      <c r="C565" s="3">
        <v>46276</v>
      </c>
      <c r="D565" t="s">
        <v>2</v>
      </c>
      <c r="E565" t="s">
        <v>0</v>
      </c>
      <c r="F565" s="5">
        <v>122624</v>
      </c>
      <c r="G565" s="5" t="str">
        <f>VLOOKUP(F565,'[1]46974159BCSET2026'!$F:$AE,26,0)</f>
        <v>Sim</v>
      </c>
      <c r="H565" t="s">
        <v>3</v>
      </c>
      <c r="I565" s="3">
        <v>46276</v>
      </c>
      <c r="J565" t="s">
        <v>4</v>
      </c>
      <c r="K565" t="s">
        <v>804</v>
      </c>
      <c r="L565" t="s">
        <v>805</v>
      </c>
      <c r="M565" s="8">
        <v>-195.92</v>
      </c>
      <c r="N565" t="s">
        <v>0</v>
      </c>
      <c r="O565" t="s">
        <v>7</v>
      </c>
      <c r="P565" t="s">
        <v>8</v>
      </c>
    </row>
    <row r="566" spans="1:16" ht="13.95" customHeight="1" x14ac:dyDescent="0.25">
      <c r="A566" s="2" t="s">
        <v>0</v>
      </c>
      <c r="B566" t="s">
        <v>1</v>
      </c>
      <c r="C566" s="3">
        <v>46276</v>
      </c>
      <c r="D566" t="s">
        <v>2</v>
      </c>
      <c r="E566" t="s">
        <v>0</v>
      </c>
      <c r="F566" s="5">
        <v>122207</v>
      </c>
      <c r="G566" s="5" t="str">
        <f>VLOOKUP(F566,'[1]46974159BCSET2026'!$F:$AE,26,0)</f>
        <v>Sim</v>
      </c>
      <c r="H566" t="s">
        <v>3</v>
      </c>
      <c r="I566" s="3">
        <v>46276</v>
      </c>
      <c r="J566" t="s">
        <v>4</v>
      </c>
      <c r="K566" t="s">
        <v>806</v>
      </c>
      <c r="L566" t="s">
        <v>807</v>
      </c>
      <c r="M566" s="8">
        <v>-195.67</v>
      </c>
      <c r="N566" t="s">
        <v>0</v>
      </c>
      <c r="O566" t="s">
        <v>7</v>
      </c>
      <c r="P566" t="s">
        <v>8</v>
      </c>
    </row>
    <row r="567" spans="1:16" ht="13.95" customHeight="1" x14ac:dyDescent="0.25">
      <c r="A567" s="2" t="s">
        <v>0</v>
      </c>
      <c r="B567" t="s">
        <v>1</v>
      </c>
      <c r="C567" s="3">
        <v>46276</v>
      </c>
      <c r="D567" t="s">
        <v>2</v>
      </c>
      <c r="E567" t="s">
        <v>0</v>
      </c>
      <c r="F567" s="5">
        <v>122664</v>
      </c>
      <c r="G567" s="5" t="str">
        <f>VLOOKUP(F567,'[1]46974159BCSET2026'!$F:$AE,26,0)</f>
        <v>Sim</v>
      </c>
      <c r="H567" t="s">
        <v>3</v>
      </c>
      <c r="I567" s="3">
        <v>46276</v>
      </c>
      <c r="J567" t="s">
        <v>4</v>
      </c>
      <c r="K567" t="s">
        <v>808</v>
      </c>
      <c r="L567" t="s">
        <v>809</v>
      </c>
      <c r="M567" s="8">
        <v>-195.67</v>
      </c>
      <c r="N567" t="s">
        <v>0</v>
      </c>
      <c r="O567" t="s">
        <v>7</v>
      </c>
      <c r="P567" t="s">
        <v>8</v>
      </c>
    </row>
    <row r="568" spans="1:16" ht="13.95" customHeight="1" x14ac:dyDescent="0.25">
      <c r="A568" s="2" t="s">
        <v>0</v>
      </c>
      <c r="B568" t="s">
        <v>1</v>
      </c>
      <c r="C568" s="3">
        <v>46276</v>
      </c>
      <c r="D568" t="s">
        <v>2</v>
      </c>
      <c r="E568" t="s">
        <v>0</v>
      </c>
      <c r="F568" s="5">
        <v>122551</v>
      </c>
      <c r="G568" s="5" t="str">
        <f>VLOOKUP(F568,'[1]46974159BCSET2026'!$F:$AE,26,0)</f>
        <v>Sim</v>
      </c>
      <c r="H568" t="s">
        <v>3</v>
      </c>
      <c r="I568" s="3">
        <v>46276</v>
      </c>
      <c r="J568" t="s">
        <v>4</v>
      </c>
      <c r="K568" t="s">
        <v>810</v>
      </c>
      <c r="L568" t="s">
        <v>811</v>
      </c>
      <c r="M568" s="8">
        <v>-195.61</v>
      </c>
      <c r="N568" t="s">
        <v>0</v>
      </c>
      <c r="O568" t="s">
        <v>7</v>
      </c>
      <c r="P568" t="s">
        <v>8</v>
      </c>
    </row>
    <row r="569" spans="1:16" ht="13.95" customHeight="1" x14ac:dyDescent="0.25">
      <c r="A569" s="2" t="s">
        <v>0</v>
      </c>
      <c r="B569" t="s">
        <v>1</v>
      </c>
      <c r="C569" s="3">
        <v>46276</v>
      </c>
      <c r="D569" t="s">
        <v>2</v>
      </c>
      <c r="E569" t="s">
        <v>0</v>
      </c>
      <c r="F569" s="5">
        <v>122305</v>
      </c>
      <c r="G569" s="5" t="str">
        <f>VLOOKUP(F569,'[1]46974159BCSET2026'!$F:$AE,26,0)</f>
        <v>Sim</v>
      </c>
      <c r="H569" t="s">
        <v>3</v>
      </c>
      <c r="I569" s="3">
        <v>46276</v>
      </c>
      <c r="J569" t="s">
        <v>4</v>
      </c>
      <c r="K569" t="s">
        <v>812</v>
      </c>
      <c r="L569" t="s">
        <v>813</v>
      </c>
      <c r="M569" s="8">
        <v>-195.61</v>
      </c>
      <c r="N569" t="s">
        <v>0</v>
      </c>
      <c r="O569" t="s">
        <v>7</v>
      </c>
      <c r="P569" t="s">
        <v>8</v>
      </c>
    </row>
    <row r="570" spans="1:16" ht="13.95" customHeight="1" x14ac:dyDescent="0.25">
      <c r="A570" s="2" t="s">
        <v>0</v>
      </c>
      <c r="B570" t="s">
        <v>1</v>
      </c>
      <c r="C570" s="3">
        <v>46276</v>
      </c>
      <c r="D570" t="s">
        <v>2</v>
      </c>
      <c r="E570" t="s">
        <v>0</v>
      </c>
      <c r="F570" s="5">
        <v>122540</v>
      </c>
      <c r="G570" s="5" t="str">
        <f>VLOOKUP(F570,'[1]46974159BCSET2026'!$F:$AE,26,0)</f>
        <v>Sim</v>
      </c>
      <c r="H570" t="s">
        <v>3</v>
      </c>
      <c r="I570" s="3">
        <v>46276</v>
      </c>
      <c r="J570" t="s">
        <v>4</v>
      </c>
      <c r="K570" t="s">
        <v>814</v>
      </c>
      <c r="L570" t="s">
        <v>815</v>
      </c>
      <c r="M570" s="8">
        <v>-194.23</v>
      </c>
      <c r="N570" t="s">
        <v>0</v>
      </c>
      <c r="O570" t="s">
        <v>7</v>
      </c>
      <c r="P570" t="s">
        <v>8</v>
      </c>
    </row>
    <row r="571" spans="1:16" ht="13.95" customHeight="1" x14ac:dyDescent="0.25">
      <c r="A571" s="2" t="s">
        <v>0</v>
      </c>
      <c r="B571" t="s">
        <v>1</v>
      </c>
      <c r="C571" s="3">
        <v>46276</v>
      </c>
      <c r="D571" t="s">
        <v>2</v>
      </c>
      <c r="E571" t="s">
        <v>0</v>
      </c>
      <c r="F571" s="5">
        <v>122209</v>
      </c>
      <c r="G571" s="5" t="str">
        <f>VLOOKUP(F571,'[1]46974159BCSET2026'!$F:$AE,26,0)</f>
        <v>Sim</v>
      </c>
      <c r="H571" t="s">
        <v>3</v>
      </c>
      <c r="I571" s="3">
        <v>46276</v>
      </c>
      <c r="J571" t="s">
        <v>4</v>
      </c>
      <c r="K571" t="s">
        <v>816</v>
      </c>
      <c r="L571" t="s">
        <v>817</v>
      </c>
      <c r="M571" s="8">
        <v>-193.88</v>
      </c>
      <c r="N571" t="s">
        <v>0</v>
      </c>
      <c r="O571" t="s">
        <v>7</v>
      </c>
      <c r="P571" t="s">
        <v>8</v>
      </c>
    </row>
    <row r="572" spans="1:16" ht="13.95" customHeight="1" x14ac:dyDescent="0.25">
      <c r="A572" s="2" t="s">
        <v>0</v>
      </c>
      <c r="B572" t="s">
        <v>1</v>
      </c>
      <c r="C572" s="3">
        <v>46276</v>
      </c>
      <c r="D572" t="s">
        <v>2</v>
      </c>
      <c r="E572" t="s">
        <v>0</v>
      </c>
      <c r="F572" s="5">
        <v>122464</v>
      </c>
      <c r="G572" s="5" t="str">
        <f>VLOOKUP(F572,'[1]46974159BCSET2026'!$F:$AE,26,0)</f>
        <v>Sim</v>
      </c>
      <c r="H572" t="s">
        <v>3</v>
      </c>
      <c r="I572" s="3">
        <v>46276</v>
      </c>
      <c r="J572" t="s">
        <v>4</v>
      </c>
      <c r="K572" t="s">
        <v>818</v>
      </c>
      <c r="L572" t="s">
        <v>819</v>
      </c>
      <c r="M572" s="8">
        <v>-193.88</v>
      </c>
      <c r="N572" t="s">
        <v>0</v>
      </c>
      <c r="O572" t="s">
        <v>7</v>
      </c>
      <c r="P572" t="s">
        <v>8</v>
      </c>
    </row>
    <row r="573" spans="1:16" ht="13.95" customHeight="1" x14ac:dyDescent="0.25">
      <c r="A573" s="2" t="s">
        <v>0</v>
      </c>
      <c r="B573" t="s">
        <v>1</v>
      </c>
      <c r="C573" s="3">
        <v>46276</v>
      </c>
      <c r="D573" t="s">
        <v>2</v>
      </c>
      <c r="E573" t="s">
        <v>0</v>
      </c>
      <c r="F573" s="5">
        <v>122205</v>
      </c>
      <c r="G573" s="5" t="str">
        <f>VLOOKUP(F573,'[1]46974159BCSET2026'!$F:$AE,26,0)</f>
        <v>Sim</v>
      </c>
      <c r="H573" t="s">
        <v>3</v>
      </c>
      <c r="I573" s="3">
        <v>46276</v>
      </c>
      <c r="J573" t="s">
        <v>4</v>
      </c>
      <c r="K573" t="s">
        <v>820</v>
      </c>
      <c r="L573" t="s">
        <v>821</v>
      </c>
      <c r="M573" s="8">
        <v>-191.84</v>
      </c>
      <c r="N573" t="s">
        <v>0</v>
      </c>
      <c r="O573" t="s">
        <v>7</v>
      </c>
      <c r="P573" t="s">
        <v>8</v>
      </c>
    </row>
    <row r="574" spans="1:16" ht="13.95" customHeight="1" x14ac:dyDescent="0.25">
      <c r="A574" s="2" t="s">
        <v>0</v>
      </c>
      <c r="B574" t="s">
        <v>1</v>
      </c>
      <c r="C574" s="3">
        <v>46276</v>
      </c>
      <c r="D574" t="s">
        <v>2</v>
      </c>
      <c r="E574" t="s">
        <v>0</v>
      </c>
      <c r="F574" s="5">
        <v>122227</v>
      </c>
      <c r="G574" s="5" t="str">
        <f>VLOOKUP(F574,'[1]46974159BCSET2026'!$F:$AE,26,0)</f>
        <v>Sim</v>
      </c>
      <c r="H574" t="s">
        <v>3</v>
      </c>
      <c r="I574" s="3">
        <v>46276</v>
      </c>
      <c r="J574" t="s">
        <v>4</v>
      </c>
      <c r="K574" t="s">
        <v>822</v>
      </c>
      <c r="L574" t="s">
        <v>823</v>
      </c>
      <c r="M574" s="8">
        <v>-191.84</v>
      </c>
      <c r="N574" t="s">
        <v>0</v>
      </c>
      <c r="O574" t="s">
        <v>7</v>
      </c>
      <c r="P574" t="s">
        <v>8</v>
      </c>
    </row>
    <row r="575" spans="1:16" ht="13.95" customHeight="1" x14ac:dyDescent="0.25">
      <c r="A575" s="2" t="s">
        <v>0</v>
      </c>
      <c r="B575" t="s">
        <v>1</v>
      </c>
      <c r="C575" s="3">
        <v>46276</v>
      </c>
      <c r="D575" t="s">
        <v>2</v>
      </c>
      <c r="E575" t="s">
        <v>0</v>
      </c>
      <c r="F575" s="5">
        <v>122247</v>
      </c>
      <c r="G575" s="5" t="str">
        <f>VLOOKUP(F575,'[1]46974159BCSET2026'!$F:$AE,26,0)</f>
        <v>Sim</v>
      </c>
      <c r="H575" t="s">
        <v>3</v>
      </c>
      <c r="I575" s="3">
        <v>46276</v>
      </c>
      <c r="J575" t="s">
        <v>4</v>
      </c>
      <c r="K575" t="s">
        <v>824</v>
      </c>
      <c r="L575" t="s">
        <v>825</v>
      </c>
      <c r="M575" s="8">
        <v>-191.84</v>
      </c>
      <c r="N575" t="s">
        <v>0</v>
      </c>
      <c r="O575" t="s">
        <v>7</v>
      </c>
      <c r="P575" t="s">
        <v>8</v>
      </c>
    </row>
    <row r="576" spans="1:16" ht="13.95" customHeight="1" x14ac:dyDescent="0.25">
      <c r="A576" s="2" t="s">
        <v>0</v>
      </c>
      <c r="B576" t="s">
        <v>1</v>
      </c>
      <c r="C576" s="3">
        <v>46276</v>
      </c>
      <c r="D576" t="s">
        <v>2</v>
      </c>
      <c r="E576" t="s">
        <v>0</v>
      </c>
      <c r="F576" s="5">
        <v>122675</v>
      </c>
      <c r="G576" s="5" t="str">
        <f>VLOOKUP(F576,'[1]46974159BCSET2026'!$F:$AE,26,0)</f>
        <v>Sim</v>
      </c>
      <c r="H576" t="s">
        <v>3</v>
      </c>
      <c r="I576" s="3">
        <v>46276</v>
      </c>
      <c r="J576" t="s">
        <v>4</v>
      </c>
      <c r="K576" t="s">
        <v>826</v>
      </c>
      <c r="L576" t="s">
        <v>827</v>
      </c>
      <c r="M576" s="8">
        <v>-191.84</v>
      </c>
      <c r="N576" t="s">
        <v>0</v>
      </c>
      <c r="O576" t="s">
        <v>7</v>
      </c>
      <c r="P576" t="s">
        <v>8</v>
      </c>
    </row>
    <row r="577" spans="1:16" ht="13.95" customHeight="1" x14ac:dyDescent="0.25">
      <c r="A577" s="2" t="s">
        <v>0</v>
      </c>
      <c r="B577" t="s">
        <v>1</v>
      </c>
      <c r="C577" s="3">
        <v>46276</v>
      </c>
      <c r="D577" t="s">
        <v>2</v>
      </c>
      <c r="E577" t="s">
        <v>0</v>
      </c>
      <c r="F577" s="5">
        <v>122678</v>
      </c>
      <c r="G577" s="5" t="str">
        <f>VLOOKUP(F577,'[1]46974159BCSET2026'!$F:$AE,26,0)</f>
        <v>Sim</v>
      </c>
      <c r="H577" t="s">
        <v>3</v>
      </c>
      <c r="I577" s="3">
        <v>46276</v>
      </c>
      <c r="J577" t="s">
        <v>4</v>
      </c>
      <c r="K577" t="s">
        <v>828</v>
      </c>
      <c r="L577" t="s">
        <v>829</v>
      </c>
      <c r="M577" s="8">
        <v>-191.84</v>
      </c>
      <c r="N577" t="s">
        <v>0</v>
      </c>
      <c r="O577" t="s">
        <v>7</v>
      </c>
      <c r="P577" t="s">
        <v>8</v>
      </c>
    </row>
    <row r="578" spans="1:16" ht="13.95" customHeight="1" x14ac:dyDescent="0.25">
      <c r="A578" s="2" t="s">
        <v>0</v>
      </c>
      <c r="B578" t="s">
        <v>1</v>
      </c>
      <c r="C578" s="3">
        <v>46276</v>
      </c>
      <c r="D578" t="s">
        <v>2</v>
      </c>
      <c r="E578" t="s">
        <v>0</v>
      </c>
      <c r="F578" s="5">
        <v>122779</v>
      </c>
      <c r="G578" s="5" t="str">
        <f>VLOOKUP(F578,'[1]46974159BCSET2026'!$F:$AE,26,0)</f>
        <v>Sim</v>
      </c>
      <c r="H578" t="s">
        <v>3</v>
      </c>
      <c r="I578" s="3">
        <v>46276</v>
      </c>
      <c r="J578" t="s">
        <v>4</v>
      </c>
      <c r="K578" t="s">
        <v>830</v>
      </c>
      <c r="L578" t="s">
        <v>831</v>
      </c>
      <c r="M578" s="8">
        <v>-191.84</v>
      </c>
      <c r="N578" t="s">
        <v>0</v>
      </c>
      <c r="O578" t="s">
        <v>7</v>
      </c>
      <c r="P578" t="s">
        <v>8</v>
      </c>
    </row>
    <row r="579" spans="1:16" ht="13.95" customHeight="1" x14ac:dyDescent="0.25">
      <c r="A579" s="2" t="s">
        <v>0</v>
      </c>
      <c r="B579" t="s">
        <v>1</v>
      </c>
      <c r="C579" s="3">
        <v>46276</v>
      </c>
      <c r="D579" t="s">
        <v>2</v>
      </c>
      <c r="E579" t="s">
        <v>0</v>
      </c>
      <c r="F579" s="5">
        <v>122618</v>
      </c>
      <c r="G579" s="5" t="str">
        <f>VLOOKUP(F579,'[1]46974159BCSET2026'!$F:$AE,26,0)</f>
        <v>Sim</v>
      </c>
      <c r="H579" t="s">
        <v>3</v>
      </c>
      <c r="I579" s="3">
        <v>46276</v>
      </c>
      <c r="J579" t="s">
        <v>4</v>
      </c>
      <c r="K579" t="s">
        <v>832</v>
      </c>
      <c r="L579" t="s">
        <v>833</v>
      </c>
      <c r="M579" s="8">
        <v>-191.84</v>
      </c>
      <c r="N579" t="s">
        <v>0</v>
      </c>
      <c r="O579" t="s">
        <v>7</v>
      </c>
      <c r="P579" t="s">
        <v>8</v>
      </c>
    </row>
    <row r="580" spans="1:16" ht="13.95" customHeight="1" x14ac:dyDescent="0.25">
      <c r="A580" s="2" t="s">
        <v>0</v>
      </c>
      <c r="B580" t="s">
        <v>1</v>
      </c>
      <c r="C580" s="3">
        <v>46276</v>
      </c>
      <c r="D580" t="s">
        <v>2</v>
      </c>
      <c r="E580" t="s">
        <v>0</v>
      </c>
      <c r="F580" s="5">
        <v>122800</v>
      </c>
      <c r="G580" s="5" t="str">
        <f>VLOOKUP(F580,'[1]46974159BCSET2026'!$F:$AE,26,0)</f>
        <v>Sim</v>
      </c>
      <c r="H580" t="s">
        <v>3</v>
      </c>
      <c r="I580" s="3">
        <v>46276</v>
      </c>
      <c r="J580" t="s">
        <v>4</v>
      </c>
      <c r="K580" t="s">
        <v>834</v>
      </c>
      <c r="L580" t="s">
        <v>835</v>
      </c>
      <c r="M580" s="8">
        <v>-191.84</v>
      </c>
      <c r="N580" t="s">
        <v>0</v>
      </c>
      <c r="O580" t="s">
        <v>7</v>
      </c>
      <c r="P580" t="s">
        <v>8</v>
      </c>
    </row>
    <row r="581" spans="1:16" ht="13.95" customHeight="1" x14ac:dyDescent="0.25">
      <c r="A581" s="2" t="s">
        <v>0</v>
      </c>
      <c r="B581" t="s">
        <v>1</v>
      </c>
      <c r="C581" s="3">
        <v>46276</v>
      </c>
      <c r="D581" t="s">
        <v>2</v>
      </c>
      <c r="E581" t="s">
        <v>0</v>
      </c>
      <c r="F581" s="5">
        <v>122801</v>
      </c>
      <c r="G581" s="5" t="str">
        <f>VLOOKUP(F581,'[1]46974159BCSET2026'!$F:$AE,26,0)</f>
        <v>Sim</v>
      </c>
      <c r="H581" t="s">
        <v>3</v>
      </c>
      <c r="I581" s="3">
        <v>46276</v>
      </c>
      <c r="J581" t="s">
        <v>4</v>
      </c>
      <c r="K581" t="s">
        <v>836</v>
      </c>
      <c r="L581" t="s">
        <v>837</v>
      </c>
      <c r="M581" s="8">
        <v>-191.84</v>
      </c>
      <c r="N581" t="s">
        <v>0</v>
      </c>
      <c r="O581" t="s">
        <v>7</v>
      </c>
      <c r="P581" t="s">
        <v>8</v>
      </c>
    </row>
    <row r="582" spans="1:16" ht="13.95" customHeight="1" x14ac:dyDescent="0.25">
      <c r="A582" s="2" t="s">
        <v>0</v>
      </c>
      <c r="B582" t="s">
        <v>1</v>
      </c>
      <c r="C582" s="3">
        <v>46276</v>
      </c>
      <c r="D582" t="s">
        <v>2</v>
      </c>
      <c r="E582" t="s">
        <v>0</v>
      </c>
      <c r="F582" s="5">
        <v>122622</v>
      </c>
      <c r="G582" s="5" t="str">
        <f>VLOOKUP(F582,'[1]46974159BCSET2026'!$F:$AE,26,0)</f>
        <v>Sim</v>
      </c>
      <c r="H582" t="s">
        <v>3</v>
      </c>
      <c r="I582" s="3">
        <v>46276</v>
      </c>
      <c r="J582" t="s">
        <v>4</v>
      </c>
      <c r="K582" t="s">
        <v>838</v>
      </c>
      <c r="L582" t="s">
        <v>839</v>
      </c>
      <c r="M582" s="8">
        <v>-191.84</v>
      </c>
      <c r="N582" t="s">
        <v>0</v>
      </c>
      <c r="O582" t="s">
        <v>7</v>
      </c>
      <c r="P582" t="s">
        <v>8</v>
      </c>
    </row>
    <row r="583" spans="1:16" ht="13.95" customHeight="1" x14ac:dyDescent="0.25">
      <c r="A583" s="2" t="s">
        <v>0</v>
      </c>
      <c r="B583" t="s">
        <v>1</v>
      </c>
      <c r="C583" s="3">
        <v>46276</v>
      </c>
      <c r="D583" t="s">
        <v>2</v>
      </c>
      <c r="E583" t="s">
        <v>0</v>
      </c>
      <c r="F583" s="5">
        <v>122489</v>
      </c>
      <c r="G583" s="5" t="str">
        <f>VLOOKUP(F583,'[1]46974159BCSET2026'!$F:$AE,26,0)</f>
        <v>Sim</v>
      </c>
      <c r="H583" t="s">
        <v>3</v>
      </c>
      <c r="I583" s="3">
        <v>46276</v>
      </c>
      <c r="J583" t="s">
        <v>4</v>
      </c>
      <c r="K583" t="s">
        <v>840</v>
      </c>
      <c r="L583" t="s">
        <v>841</v>
      </c>
      <c r="M583" s="8">
        <v>-191.84</v>
      </c>
      <c r="N583" t="s">
        <v>0</v>
      </c>
      <c r="O583" t="s">
        <v>7</v>
      </c>
      <c r="P583" t="s">
        <v>8</v>
      </c>
    </row>
    <row r="584" spans="1:16" ht="13.95" customHeight="1" x14ac:dyDescent="0.25">
      <c r="A584" s="2" t="s">
        <v>0</v>
      </c>
      <c r="B584" t="s">
        <v>1</v>
      </c>
      <c r="C584" s="3">
        <v>46276</v>
      </c>
      <c r="D584" t="s">
        <v>2</v>
      </c>
      <c r="E584" t="s">
        <v>0</v>
      </c>
      <c r="F584" s="5">
        <v>122490</v>
      </c>
      <c r="G584" s="5" t="str">
        <f>VLOOKUP(F584,'[1]46974159BCSET2026'!$F:$AE,26,0)</f>
        <v>Sim</v>
      </c>
      <c r="H584" t="s">
        <v>3</v>
      </c>
      <c r="I584" s="3">
        <v>46276</v>
      </c>
      <c r="J584" t="s">
        <v>4</v>
      </c>
      <c r="K584" t="s">
        <v>842</v>
      </c>
      <c r="L584" t="s">
        <v>843</v>
      </c>
      <c r="M584" s="8">
        <v>-191.84</v>
      </c>
      <c r="N584" t="s">
        <v>0</v>
      </c>
      <c r="O584" t="s">
        <v>7</v>
      </c>
      <c r="P584" t="s">
        <v>8</v>
      </c>
    </row>
    <row r="585" spans="1:16" ht="13.95" customHeight="1" x14ac:dyDescent="0.25">
      <c r="A585" s="2" t="s">
        <v>0</v>
      </c>
      <c r="B585" t="s">
        <v>1</v>
      </c>
      <c r="C585" s="3">
        <v>46276</v>
      </c>
      <c r="D585" t="s">
        <v>2</v>
      </c>
      <c r="E585" t="s">
        <v>0</v>
      </c>
      <c r="F585" s="5">
        <v>122543</v>
      </c>
      <c r="G585" s="5" t="str">
        <f>VLOOKUP(F585,'[1]46974159BCSET2026'!$F:$AE,26,0)</f>
        <v>Sim</v>
      </c>
      <c r="H585" t="s">
        <v>3</v>
      </c>
      <c r="I585" s="3">
        <v>46276</v>
      </c>
      <c r="J585" t="s">
        <v>4</v>
      </c>
      <c r="K585" t="s">
        <v>844</v>
      </c>
      <c r="L585" t="s">
        <v>845</v>
      </c>
      <c r="M585" s="8">
        <v>-190.83</v>
      </c>
      <c r="N585" t="s">
        <v>0</v>
      </c>
      <c r="O585" t="s">
        <v>7</v>
      </c>
      <c r="P585" t="s">
        <v>8</v>
      </c>
    </row>
    <row r="586" spans="1:16" ht="13.95" customHeight="1" x14ac:dyDescent="0.25">
      <c r="A586" s="2" t="s">
        <v>0</v>
      </c>
      <c r="B586" t="s">
        <v>1</v>
      </c>
      <c r="C586" s="3">
        <v>46276</v>
      </c>
      <c r="D586" t="s">
        <v>2</v>
      </c>
      <c r="E586" t="s">
        <v>0</v>
      </c>
      <c r="F586" s="5">
        <v>122536</v>
      </c>
      <c r="G586" s="5" t="str">
        <f>VLOOKUP(F586,'[1]46974159BCSET2026'!$F:$AE,26,0)</f>
        <v>Sim</v>
      </c>
      <c r="H586" t="s">
        <v>3</v>
      </c>
      <c r="I586" s="3">
        <v>46276</v>
      </c>
      <c r="J586" t="s">
        <v>4</v>
      </c>
      <c r="K586" t="s">
        <v>44</v>
      </c>
      <c r="L586" t="s">
        <v>45</v>
      </c>
      <c r="M586" s="8">
        <v>-190.17</v>
      </c>
      <c r="N586" t="s">
        <v>0</v>
      </c>
      <c r="O586" t="s">
        <v>7</v>
      </c>
      <c r="P586" t="s">
        <v>8</v>
      </c>
    </row>
    <row r="587" spans="1:16" ht="13.95" customHeight="1" x14ac:dyDescent="0.25">
      <c r="A587" s="2" t="s">
        <v>0</v>
      </c>
      <c r="B587" t="s">
        <v>1</v>
      </c>
      <c r="C587" s="3">
        <v>46276</v>
      </c>
      <c r="D587" t="s">
        <v>2</v>
      </c>
      <c r="E587" t="s">
        <v>0</v>
      </c>
      <c r="F587" s="5">
        <v>122698</v>
      </c>
      <c r="G587" s="5" t="str">
        <f>VLOOKUP(F587,'[1]46974159BCSET2026'!$F:$AE,26,0)</f>
        <v>Sim</v>
      </c>
      <c r="H587" t="s">
        <v>3</v>
      </c>
      <c r="I587" s="3">
        <v>46276</v>
      </c>
      <c r="J587" t="s">
        <v>4</v>
      </c>
      <c r="K587" t="s">
        <v>846</v>
      </c>
      <c r="L587" t="s">
        <v>847</v>
      </c>
      <c r="M587" s="8">
        <v>-189.8</v>
      </c>
      <c r="N587" t="s">
        <v>0</v>
      </c>
      <c r="O587" t="s">
        <v>7</v>
      </c>
      <c r="P587" t="s">
        <v>8</v>
      </c>
    </row>
    <row r="588" spans="1:16" ht="13.95" customHeight="1" x14ac:dyDescent="0.25">
      <c r="A588" s="2" t="s">
        <v>0</v>
      </c>
      <c r="B588" t="s">
        <v>1</v>
      </c>
      <c r="C588" s="3">
        <v>46276</v>
      </c>
      <c r="D588" t="s">
        <v>2</v>
      </c>
      <c r="E588" t="s">
        <v>0</v>
      </c>
      <c r="F588" s="5">
        <v>122515</v>
      </c>
      <c r="G588" s="5" t="str">
        <f>VLOOKUP(F588,'[1]46974159BCSET2026'!$F:$AE,26,0)</f>
        <v>Sim</v>
      </c>
      <c r="H588" t="s">
        <v>3</v>
      </c>
      <c r="I588" s="3">
        <v>46276</v>
      </c>
      <c r="J588" t="s">
        <v>4</v>
      </c>
      <c r="K588" t="s">
        <v>848</v>
      </c>
      <c r="L588" t="s">
        <v>849</v>
      </c>
      <c r="M588" s="8">
        <v>-187.31</v>
      </c>
      <c r="N588" t="s">
        <v>0</v>
      </c>
      <c r="O588" t="s">
        <v>7</v>
      </c>
      <c r="P588" t="s">
        <v>8</v>
      </c>
    </row>
    <row r="589" spans="1:16" ht="13.95" customHeight="1" x14ac:dyDescent="0.25">
      <c r="A589" s="2" t="s">
        <v>0</v>
      </c>
      <c r="B589" t="s">
        <v>1</v>
      </c>
      <c r="C589" s="3">
        <v>46276</v>
      </c>
      <c r="D589" t="s">
        <v>2</v>
      </c>
      <c r="E589" t="s">
        <v>0</v>
      </c>
      <c r="F589" s="5">
        <v>122520</v>
      </c>
      <c r="G589" s="5" t="str">
        <f>VLOOKUP(F589,'[1]46974159BCSET2026'!$F:$AE,26,0)</f>
        <v>Sim</v>
      </c>
      <c r="H589" t="s">
        <v>3</v>
      </c>
      <c r="I589" s="3">
        <v>46276</v>
      </c>
      <c r="J589" t="s">
        <v>4</v>
      </c>
      <c r="K589" t="s">
        <v>742</v>
      </c>
      <c r="L589" t="s">
        <v>743</v>
      </c>
      <c r="M589" s="8">
        <v>-186.24</v>
      </c>
      <c r="N589" t="s">
        <v>0</v>
      </c>
      <c r="O589" t="s">
        <v>7</v>
      </c>
      <c r="P589" t="s">
        <v>8</v>
      </c>
    </row>
    <row r="590" spans="1:16" ht="13.95" customHeight="1" x14ac:dyDescent="0.25">
      <c r="A590" s="2" t="s">
        <v>0</v>
      </c>
      <c r="B590" t="s">
        <v>1</v>
      </c>
      <c r="C590" s="3">
        <v>46276</v>
      </c>
      <c r="D590" t="s">
        <v>2</v>
      </c>
      <c r="E590" t="s">
        <v>0</v>
      </c>
      <c r="F590" s="5">
        <v>122196</v>
      </c>
      <c r="G590" s="5" t="str">
        <f>VLOOKUP(F590,'[1]46974159BCSET2026'!$F:$AE,26,0)</f>
        <v>Sim</v>
      </c>
      <c r="H590" t="s">
        <v>3</v>
      </c>
      <c r="I590" s="3">
        <v>46276</v>
      </c>
      <c r="J590" t="s">
        <v>4</v>
      </c>
      <c r="K590" t="s">
        <v>155</v>
      </c>
      <c r="L590" t="s">
        <v>156</v>
      </c>
      <c r="M590" s="8">
        <v>-185.79</v>
      </c>
      <c r="N590" t="s">
        <v>0</v>
      </c>
      <c r="O590" t="s">
        <v>7</v>
      </c>
      <c r="P590" t="s">
        <v>8</v>
      </c>
    </row>
    <row r="591" spans="1:16" ht="13.95" customHeight="1" x14ac:dyDescent="0.25">
      <c r="A591" s="2" t="s">
        <v>0</v>
      </c>
      <c r="B591" t="s">
        <v>1</v>
      </c>
      <c r="C591" s="3">
        <v>46276</v>
      </c>
      <c r="D591" t="s">
        <v>2</v>
      </c>
      <c r="E591" t="s">
        <v>0</v>
      </c>
      <c r="F591" s="5">
        <v>122647</v>
      </c>
      <c r="G591" s="5" t="str">
        <f>VLOOKUP(F591,'[1]46974159BCSET2026'!$F:$AE,26,0)</f>
        <v>Sim</v>
      </c>
      <c r="H591" t="s">
        <v>3</v>
      </c>
      <c r="I591" s="3">
        <v>46276</v>
      </c>
      <c r="J591" t="s">
        <v>4</v>
      </c>
      <c r="K591" t="s">
        <v>850</v>
      </c>
      <c r="L591" t="s">
        <v>851</v>
      </c>
      <c r="M591" s="8">
        <v>-183.67</v>
      </c>
      <c r="N591" t="s">
        <v>0</v>
      </c>
      <c r="O591" t="s">
        <v>7</v>
      </c>
      <c r="P591" t="s">
        <v>8</v>
      </c>
    </row>
    <row r="592" spans="1:16" ht="13.95" customHeight="1" x14ac:dyDescent="0.25">
      <c r="A592" s="2" t="s">
        <v>0</v>
      </c>
      <c r="B592" t="s">
        <v>1</v>
      </c>
      <c r="C592" s="3">
        <v>46276</v>
      </c>
      <c r="D592" t="s">
        <v>2</v>
      </c>
      <c r="E592" t="s">
        <v>0</v>
      </c>
      <c r="F592" s="5">
        <v>122671</v>
      </c>
      <c r="G592" s="5" t="str">
        <f>VLOOKUP(F592,'[1]46974159BCSET2026'!$F:$AE,26,0)</f>
        <v>Sim</v>
      </c>
      <c r="H592" t="s">
        <v>3</v>
      </c>
      <c r="I592" s="3">
        <v>46276</v>
      </c>
      <c r="J592" t="s">
        <v>4</v>
      </c>
      <c r="K592" t="s">
        <v>852</v>
      </c>
      <c r="L592" t="s">
        <v>853</v>
      </c>
      <c r="M592" s="8">
        <v>-183.67</v>
      </c>
      <c r="N592" t="s">
        <v>0</v>
      </c>
      <c r="O592" t="s">
        <v>7</v>
      </c>
      <c r="P592" t="s">
        <v>8</v>
      </c>
    </row>
    <row r="593" spans="1:16" ht="13.95" customHeight="1" x14ac:dyDescent="0.25">
      <c r="A593" s="2" t="s">
        <v>0</v>
      </c>
      <c r="B593" t="s">
        <v>1</v>
      </c>
      <c r="C593" s="3">
        <v>46276</v>
      </c>
      <c r="D593" t="s">
        <v>2</v>
      </c>
      <c r="E593" t="s">
        <v>0</v>
      </c>
      <c r="F593" s="5">
        <v>122599</v>
      </c>
      <c r="G593" s="5" t="str">
        <f>VLOOKUP(F593,'[1]46974159BCSET2026'!$F:$AE,26,0)</f>
        <v>Sim</v>
      </c>
      <c r="H593" t="s">
        <v>3</v>
      </c>
      <c r="I593" s="3">
        <v>46276</v>
      </c>
      <c r="J593" t="s">
        <v>4</v>
      </c>
      <c r="K593" t="s">
        <v>854</v>
      </c>
      <c r="L593" t="s">
        <v>855</v>
      </c>
      <c r="M593" s="8">
        <v>-183.67</v>
      </c>
      <c r="N593" t="s">
        <v>0</v>
      </c>
      <c r="O593" t="s">
        <v>7</v>
      </c>
      <c r="P593" t="s">
        <v>8</v>
      </c>
    </row>
    <row r="594" spans="1:16" ht="13.95" customHeight="1" x14ac:dyDescent="0.25">
      <c r="A594" s="2" t="s">
        <v>0</v>
      </c>
      <c r="B594" t="s">
        <v>1</v>
      </c>
      <c r="C594" s="3">
        <v>46276</v>
      </c>
      <c r="D594" t="s">
        <v>2</v>
      </c>
      <c r="E594" t="s">
        <v>0</v>
      </c>
      <c r="F594" s="5">
        <v>122645</v>
      </c>
      <c r="G594" s="5" t="str">
        <f>VLOOKUP(F594,'[1]46974159BCSET2026'!$F:$AE,26,0)</f>
        <v>Sim</v>
      </c>
      <c r="H594" t="s">
        <v>3</v>
      </c>
      <c r="I594" s="3">
        <v>46276</v>
      </c>
      <c r="J594" t="s">
        <v>4</v>
      </c>
      <c r="K594" t="s">
        <v>856</v>
      </c>
      <c r="L594" t="s">
        <v>857</v>
      </c>
      <c r="M594" s="8">
        <v>-181.72</v>
      </c>
      <c r="N594" t="s">
        <v>0</v>
      </c>
      <c r="O594" t="s">
        <v>7</v>
      </c>
      <c r="P594" t="s">
        <v>8</v>
      </c>
    </row>
    <row r="595" spans="1:16" ht="13.95" customHeight="1" x14ac:dyDescent="0.25">
      <c r="A595" s="2" t="s">
        <v>0</v>
      </c>
      <c r="B595" t="s">
        <v>1</v>
      </c>
      <c r="C595" s="3">
        <v>46276</v>
      </c>
      <c r="D595" t="s">
        <v>2</v>
      </c>
      <c r="E595" t="s">
        <v>0</v>
      </c>
      <c r="F595" s="5">
        <v>122636</v>
      </c>
      <c r="G595" s="5" t="str">
        <f>VLOOKUP(F595,'[1]46974159BCSET2026'!$F:$AE,26,0)</f>
        <v>Sim</v>
      </c>
      <c r="H595" t="s">
        <v>3</v>
      </c>
      <c r="I595" s="3">
        <v>46276</v>
      </c>
      <c r="J595" t="s">
        <v>4</v>
      </c>
      <c r="K595" t="s">
        <v>253</v>
      </c>
      <c r="L595" t="s">
        <v>254</v>
      </c>
      <c r="M595" s="8">
        <v>-180.49</v>
      </c>
      <c r="N595" t="s">
        <v>0</v>
      </c>
      <c r="O595" t="s">
        <v>7</v>
      </c>
      <c r="P595" t="s">
        <v>8</v>
      </c>
    </row>
    <row r="596" spans="1:16" ht="13.95" customHeight="1" x14ac:dyDescent="0.25">
      <c r="A596" s="2" t="s">
        <v>0</v>
      </c>
      <c r="B596" t="s">
        <v>1</v>
      </c>
      <c r="C596" s="3">
        <v>46276</v>
      </c>
      <c r="D596" t="s">
        <v>2</v>
      </c>
      <c r="E596" t="s">
        <v>0</v>
      </c>
      <c r="F596" s="5">
        <v>122509</v>
      </c>
      <c r="G596" s="5" t="str">
        <f>VLOOKUP(F596,'[1]46974159BCSET2026'!$F:$AE,26,0)</f>
        <v>Sim</v>
      </c>
      <c r="H596" t="s">
        <v>3</v>
      </c>
      <c r="I596" s="3">
        <v>46276</v>
      </c>
      <c r="J596" t="s">
        <v>4</v>
      </c>
      <c r="K596" t="s">
        <v>255</v>
      </c>
      <c r="L596" t="s">
        <v>256</v>
      </c>
      <c r="M596" s="8">
        <v>-179.57</v>
      </c>
      <c r="N596" t="s">
        <v>0</v>
      </c>
      <c r="O596" t="s">
        <v>7</v>
      </c>
      <c r="P596" t="s">
        <v>8</v>
      </c>
    </row>
    <row r="597" spans="1:16" ht="13.95" customHeight="1" x14ac:dyDescent="0.25">
      <c r="A597" s="2" t="s">
        <v>0</v>
      </c>
      <c r="B597" t="s">
        <v>1</v>
      </c>
      <c r="C597" s="3">
        <v>46276</v>
      </c>
      <c r="D597" t="s">
        <v>2</v>
      </c>
      <c r="E597" t="s">
        <v>0</v>
      </c>
      <c r="F597" s="5">
        <v>122277</v>
      </c>
      <c r="G597" s="5" t="str">
        <f>VLOOKUP(F597,'[1]46974159BCSET2026'!$F:$AE,26,0)</f>
        <v>Sim</v>
      </c>
      <c r="H597" t="s">
        <v>3</v>
      </c>
      <c r="I597" s="3">
        <v>46276</v>
      </c>
      <c r="J597" t="s">
        <v>4</v>
      </c>
      <c r="K597" t="s">
        <v>858</v>
      </c>
      <c r="L597" t="s">
        <v>859</v>
      </c>
      <c r="M597" s="8">
        <v>-178.47</v>
      </c>
      <c r="N597" t="s">
        <v>0</v>
      </c>
      <c r="O597" t="s">
        <v>7</v>
      </c>
      <c r="P597" t="s">
        <v>8</v>
      </c>
    </row>
    <row r="598" spans="1:16" ht="13.95" customHeight="1" x14ac:dyDescent="0.25">
      <c r="A598" s="2" t="s">
        <v>0</v>
      </c>
      <c r="B598" t="s">
        <v>1</v>
      </c>
      <c r="C598" s="3">
        <v>46276</v>
      </c>
      <c r="D598" t="s">
        <v>2</v>
      </c>
      <c r="E598" t="s">
        <v>0</v>
      </c>
      <c r="F598" s="5">
        <v>122296</v>
      </c>
      <c r="G598" s="5" t="str">
        <f>VLOOKUP(F598,'[1]46974159BCSET2026'!$F:$AE,26,0)</f>
        <v>Sim</v>
      </c>
      <c r="H598" t="s">
        <v>3</v>
      </c>
      <c r="I598" s="3">
        <v>46276</v>
      </c>
      <c r="J598" t="s">
        <v>4</v>
      </c>
      <c r="K598" t="s">
        <v>860</v>
      </c>
      <c r="L598" t="s">
        <v>861</v>
      </c>
      <c r="M598" s="8">
        <v>-178.32</v>
      </c>
      <c r="N598" t="s">
        <v>0</v>
      </c>
      <c r="O598" t="s">
        <v>7</v>
      </c>
      <c r="P598" t="s">
        <v>8</v>
      </c>
    </row>
    <row r="599" spans="1:16" ht="13.95" customHeight="1" x14ac:dyDescent="0.25">
      <c r="A599" s="2" t="s">
        <v>0</v>
      </c>
      <c r="B599" t="s">
        <v>1</v>
      </c>
      <c r="C599" s="3">
        <v>46276</v>
      </c>
      <c r="D599" t="s">
        <v>2</v>
      </c>
      <c r="E599" t="s">
        <v>0</v>
      </c>
      <c r="F599" s="5">
        <v>122772</v>
      </c>
      <c r="G599" s="5" t="str">
        <f>VLOOKUP(F599,'[1]46974159BCSET2026'!$F:$AE,26,0)</f>
        <v>Sim</v>
      </c>
      <c r="H599" t="s">
        <v>3</v>
      </c>
      <c r="I599" s="3">
        <v>46276</v>
      </c>
      <c r="J599" t="s">
        <v>4</v>
      </c>
      <c r="K599" t="s">
        <v>862</v>
      </c>
      <c r="L599" t="s">
        <v>863</v>
      </c>
      <c r="M599" s="8">
        <v>-178.12</v>
      </c>
      <c r="N599" t="s">
        <v>0</v>
      </c>
      <c r="O599" t="s">
        <v>7</v>
      </c>
      <c r="P599" t="s">
        <v>8</v>
      </c>
    </row>
    <row r="600" spans="1:16" ht="13.95" customHeight="1" x14ac:dyDescent="0.25">
      <c r="A600" s="2" t="s">
        <v>0</v>
      </c>
      <c r="B600" t="s">
        <v>1</v>
      </c>
      <c r="C600" s="3">
        <v>46276</v>
      </c>
      <c r="D600" t="s">
        <v>2</v>
      </c>
      <c r="E600" t="s">
        <v>0</v>
      </c>
      <c r="F600" s="5">
        <v>122196</v>
      </c>
      <c r="G600" s="5" t="str">
        <f>VLOOKUP(F600,'[1]46974159BCSET2026'!$F:$AE,26,0)</f>
        <v>Sim</v>
      </c>
      <c r="H600" t="s">
        <v>3</v>
      </c>
      <c r="I600" s="3">
        <v>46276</v>
      </c>
      <c r="J600" t="s">
        <v>4</v>
      </c>
      <c r="K600" t="s">
        <v>155</v>
      </c>
      <c r="L600" t="s">
        <v>156</v>
      </c>
      <c r="M600" s="8">
        <v>-177.5</v>
      </c>
      <c r="N600" t="s">
        <v>0</v>
      </c>
      <c r="O600" t="s">
        <v>7</v>
      </c>
      <c r="P600" t="s">
        <v>8</v>
      </c>
    </row>
    <row r="601" spans="1:16" ht="13.95" customHeight="1" x14ac:dyDescent="0.25">
      <c r="A601" s="2" t="s">
        <v>0</v>
      </c>
      <c r="B601" t="s">
        <v>1</v>
      </c>
      <c r="C601" s="3">
        <v>46276</v>
      </c>
      <c r="D601" t="s">
        <v>2</v>
      </c>
      <c r="E601" t="s">
        <v>0</v>
      </c>
      <c r="F601" s="5">
        <v>122521</v>
      </c>
      <c r="G601" s="5" t="str">
        <f>VLOOKUP(F601,'[1]46974159BCSET2026'!$F:$AE,26,0)</f>
        <v>Sim</v>
      </c>
      <c r="H601" t="s">
        <v>3</v>
      </c>
      <c r="I601" s="3">
        <v>46276</v>
      </c>
      <c r="J601" t="s">
        <v>4</v>
      </c>
      <c r="K601" t="s">
        <v>558</v>
      </c>
      <c r="L601" t="s">
        <v>559</v>
      </c>
      <c r="M601" s="8">
        <v>-176.94</v>
      </c>
      <c r="N601" t="s">
        <v>0</v>
      </c>
      <c r="O601" t="s">
        <v>7</v>
      </c>
      <c r="P601" t="s">
        <v>8</v>
      </c>
    </row>
    <row r="602" spans="1:16" ht="13.95" customHeight="1" x14ac:dyDescent="0.25">
      <c r="A602" s="2" t="s">
        <v>0</v>
      </c>
      <c r="B602" t="s">
        <v>1</v>
      </c>
      <c r="C602" s="3">
        <v>46276</v>
      </c>
      <c r="D602" t="s">
        <v>2</v>
      </c>
      <c r="E602" t="s">
        <v>0</v>
      </c>
      <c r="F602" s="5">
        <v>122270</v>
      </c>
      <c r="G602" s="5" t="str">
        <f>VLOOKUP(F602,'[1]46974159BCSET2026'!$F:$AE,26,0)</f>
        <v>Sim</v>
      </c>
      <c r="H602" t="s">
        <v>3</v>
      </c>
      <c r="I602" s="3">
        <v>46276</v>
      </c>
      <c r="J602" t="s">
        <v>4</v>
      </c>
      <c r="K602" t="s">
        <v>864</v>
      </c>
      <c r="L602" t="s">
        <v>865</v>
      </c>
      <c r="M602" s="8">
        <v>-176.38</v>
      </c>
      <c r="N602" t="s">
        <v>0</v>
      </c>
      <c r="O602" t="s">
        <v>7</v>
      </c>
      <c r="P602" t="s">
        <v>8</v>
      </c>
    </row>
    <row r="603" spans="1:16" ht="13.95" customHeight="1" x14ac:dyDescent="0.25">
      <c r="A603" s="2" t="s">
        <v>0</v>
      </c>
      <c r="B603" t="s">
        <v>1</v>
      </c>
      <c r="C603" s="3">
        <v>46276</v>
      </c>
      <c r="D603" t="s">
        <v>2</v>
      </c>
      <c r="E603" t="s">
        <v>0</v>
      </c>
      <c r="F603" s="5">
        <v>122567</v>
      </c>
      <c r="G603" s="5" t="str">
        <f>VLOOKUP(F603,'[1]46974159BCSET2026'!$F:$AE,26,0)</f>
        <v>Sim</v>
      </c>
      <c r="H603" t="s">
        <v>3</v>
      </c>
      <c r="I603" s="3">
        <v>46276</v>
      </c>
      <c r="J603" t="s">
        <v>4</v>
      </c>
      <c r="K603" t="s">
        <v>866</v>
      </c>
      <c r="L603" t="s">
        <v>867</v>
      </c>
      <c r="M603" s="8">
        <v>-175.57</v>
      </c>
      <c r="N603" t="s">
        <v>0</v>
      </c>
      <c r="O603" t="s">
        <v>7</v>
      </c>
      <c r="P603" t="s">
        <v>8</v>
      </c>
    </row>
    <row r="604" spans="1:16" ht="13.95" customHeight="1" x14ac:dyDescent="0.25">
      <c r="A604" s="2" t="s">
        <v>0</v>
      </c>
      <c r="B604" t="s">
        <v>1</v>
      </c>
      <c r="C604" s="3">
        <v>46276</v>
      </c>
      <c r="D604" t="s">
        <v>2</v>
      </c>
      <c r="E604" t="s">
        <v>0</v>
      </c>
      <c r="F604" s="5">
        <v>122650</v>
      </c>
      <c r="G604" s="5" t="str">
        <f>VLOOKUP(F604,'[1]46974159BCSET2026'!$F:$AE,26,0)</f>
        <v>Sim</v>
      </c>
      <c r="H604" t="s">
        <v>3</v>
      </c>
      <c r="I604" s="3">
        <v>46276</v>
      </c>
      <c r="J604" t="s">
        <v>4</v>
      </c>
      <c r="K604" t="s">
        <v>153</v>
      </c>
      <c r="L604" t="s">
        <v>154</v>
      </c>
      <c r="M604" s="8">
        <v>-174.65</v>
      </c>
      <c r="N604" t="s">
        <v>0</v>
      </c>
      <c r="O604" t="s">
        <v>7</v>
      </c>
      <c r="P604" t="s">
        <v>8</v>
      </c>
    </row>
    <row r="605" spans="1:16" ht="13.95" customHeight="1" x14ac:dyDescent="0.25">
      <c r="A605" s="2" t="s">
        <v>0</v>
      </c>
      <c r="B605" t="s">
        <v>1</v>
      </c>
      <c r="C605" s="3">
        <v>46276</v>
      </c>
      <c r="D605" t="s">
        <v>2</v>
      </c>
      <c r="E605" t="s">
        <v>0</v>
      </c>
      <c r="F605" s="5">
        <v>122531</v>
      </c>
      <c r="G605" s="5" t="str">
        <f>VLOOKUP(F605,'[1]46974159BCSET2026'!$F:$AE,26,0)</f>
        <v>Sim</v>
      </c>
      <c r="H605" t="s">
        <v>3</v>
      </c>
      <c r="I605" s="3">
        <v>46276</v>
      </c>
      <c r="J605" t="s">
        <v>4</v>
      </c>
      <c r="K605" t="s">
        <v>181</v>
      </c>
      <c r="L605" t="s">
        <v>182</v>
      </c>
      <c r="M605" s="8">
        <v>-174.03</v>
      </c>
      <c r="N605" t="s">
        <v>0</v>
      </c>
      <c r="O605" t="s">
        <v>7</v>
      </c>
      <c r="P605" t="s">
        <v>8</v>
      </c>
    </row>
    <row r="606" spans="1:16" ht="13.95" customHeight="1" x14ac:dyDescent="0.25">
      <c r="A606" s="2" t="s">
        <v>0</v>
      </c>
      <c r="B606" t="s">
        <v>1</v>
      </c>
      <c r="C606" s="3">
        <v>46276</v>
      </c>
      <c r="D606" t="s">
        <v>2</v>
      </c>
      <c r="E606" t="s">
        <v>0</v>
      </c>
      <c r="F606" s="5">
        <v>122233</v>
      </c>
      <c r="G606" s="5" t="str">
        <f>VLOOKUP(F606,'[1]46974159BCSET2026'!$F:$AE,26,0)</f>
        <v>Sim</v>
      </c>
      <c r="H606" t="s">
        <v>3</v>
      </c>
      <c r="I606" s="3">
        <v>46276</v>
      </c>
      <c r="J606" t="s">
        <v>4</v>
      </c>
      <c r="K606" t="s">
        <v>868</v>
      </c>
      <c r="L606" t="s">
        <v>869</v>
      </c>
      <c r="M606" s="8">
        <v>-173.47</v>
      </c>
      <c r="N606" t="s">
        <v>0</v>
      </c>
      <c r="O606" t="s">
        <v>7</v>
      </c>
      <c r="P606" t="s">
        <v>8</v>
      </c>
    </row>
    <row r="607" spans="1:16" ht="13.95" customHeight="1" x14ac:dyDescent="0.25">
      <c r="A607" s="2" t="s">
        <v>0</v>
      </c>
      <c r="B607" t="s">
        <v>1</v>
      </c>
      <c r="C607" s="3">
        <v>46276</v>
      </c>
      <c r="D607" t="s">
        <v>2</v>
      </c>
      <c r="E607" t="s">
        <v>0</v>
      </c>
      <c r="F607" s="5">
        <v>122248</v>
      </c>
      <c r="G607" s="5" t="str">
        <f>VLOOKUP(F607,'[1]46974159BCSET2026'!$F:$AE,26,0)</f>
        <v>Sim</v>
      </c>
      <c r="H607" t="s">
        <v>3</v>
      </c>
      <c r="I607" s="3">
        <v>46276</v>
      </c>
      <c r="J607" t="s">
        <v>4</v>
      </c>
      <c r="K607" t="s">
        <v>259</v>
      </c>
      <c r="L607" t="s">
        <v>260</v>
      </c>
      <c r="M607" s="8">
        <v>-173.47</v>
      </c>
      <c r="N607" t="s">
        <v>0</v>
      </c>
      <c r="O607" t="s">
        <v>7</v>
      </c>
      <c r="P607" t="s">
        <v>8</v>
      </c>
    </row>
    <row r="608" spans="1:16" ht="13.95" customHeight="1" x14ac:dyDescent="0.25">
      <c r="A608" s="2" t="s">
        <v>0</v>
      </c>
      <c r="B608" t="s">
        <v>1</v>
      </c>
      <c r="C608" s="3">
        <v>46276</v>
      </c>
      <c r="D608" t="s">
        <v>2</v>
      </c>
      <c r="E608" t="s">
        <v>0</v>
      </c>
      <c r="F608" s="5">
        <v>122347</v>
      </c>
      <c r="G608" s="5" t="str">
        <f>VLOOKUP(F608,'[1]46974159BCSET2026'!$F:$AE,26,0)</f>
        <v>Sim</v>
      </c>
      <c r="H608" t="s">
        <v>3</v>
      </c>
      <c r="I608" s="3">
        <v>46276</v>
      </c>
      <c r="J608" t="s">
        <v>4</v>
      </c>
      <c r="K608" t="s">
        <v>870</v>
      </c>
      <c r="L608" t="s">
        <v>871</v>
      </c>
      <c r="M608" s="8">
        <v>-173.47</v>
      </c>
      <c r="N608" t="s">
        <v>0</v>
      </c>
      <c r="O608" t="s">
        <v>7</v>
      </c>
      <c r="P608" t="s">
        <v>8</v>
      </c>
    </row>
    <row r="609" spans="1:16" ht="13.95" customHeight="1" x14ac:dyDescent="0.25">
      <c r="A609" s="2" t="s">
        <v>0</v>
      </c>
      <c r="B609" t="s">
        <v>1</v>
      </c>
      <c r="C609" s="3">
        <v>46276</v>
      </c>
      <c r="D609" t="s">
        <v>2</v>
      </c>
      <c r="E609" t="s">
        <v>0</v>
      </c>
      <c r="F609" s="5">
        <v>122574</v>
      </c>
      <c r="G609" s="5" t="str">
        <f>VLOOKUP(F609,'[1]46974159BCSET2026'!$F:$AE,26,0)</f>
        <v>Sim</v>
      </c>
      <c r="H609" t="s">
        <v>3</v>
      </c>
      <c r="I609" s="3">
        <v>46276</v>
      </c>
      <c r="J609" t="s">
        <v>4</v>
      </c>
      <c r="K609" t="s">
        <v>872</v>
      </c>
      <c r="L609" t="s">
        <v>873</v>
      </c>
      <c r="M609" s="8">
        <v>-173.47</v>
      </c>
      <c r="N609" t="s">
        <v>0</v>
      </c>
      <c r="O609" t="s">
        <v>7</v>
      </c>
      <c r="P609" t="s">
        <v>8</v>
      </c>
    </row>
    <row r="610" spans="1:16" ht="13.95" customHeight="1" x14ac:dyDescent="0.25">
      <c r="A610" s="2" t="s">
        <v>0</v>
      </c>
      <c r="B610" t="s">
        <v>1</v>
      </c>
      <c r="C610" s="3">
        <v>46276</v>
      </c>
      <c r="D610" t="s">
        <v>2</v>
      </c>
      <c r="E610" t="s">
        <v>0</v>
      </c>
      <c r="F610" s="5">
        <v>122659</v>
      </c>
      <c r="G610" s="5" t="str">
        <f>VLOOKUP(F610,'[1]46974159BCSET2026'!$F:$AE,26,0)</f>
        <v>Sim</v>
      </c>
      <c r="H610" t="s">
        <v>3</v>
      </c>
      <c r="I610" s="3">
        <v>46276</v>
      </c>
      <c r="J610" t="s">
        <v>4</v>
      </c>
      <c r="K610" t="s">
        <v>874</v>
      </c>
      <c r="L610" t="s">
        <v>875</v>
      </c>
      <c r="M610" s="8">
        <v>-172.39</v>
      </c>
      <c r="N610" t="s">
        <v>0</v>
      </c>
      <c r="O610" t="s">
        <v>7</v>
      </c>
      <c r="P610" t="s">
        <v>8</v>
      </c>
    </row>
    <row r="611" spans="1:16" ht="13.95" customHeight="1" x14ac:dyDescent="0.25">
      <c r="A611" s="2" t="s">
        <v>0</v>
      </c>
      <c r="B611" t="s">
        <v>1</v>
      </c>
      <c r="C611" s="3">
        <v>46276</v>
      </c>
      <c r="D611" t="s">
        <v>2</v>
      </c>
      <c r="E611" t="s">
        <v>0</v>
      </c>
      <c r="F611" s="5">
        <v>122246</v>
      </c>
      <c r="G611" s="5" t="str">
        <f>VLOOKUP(F611,'[1]46974159BCSET2026'!$F:$AE,26,0)</f>
        <v>Sim</v>
      </c>
      <c r="H611" t="s">
        <v>3</v>
      </c>
      <c r="I611" s="3">
        <v>46276</v>
      </c>
      <c r="J611" t="s">
        <v>4</v>
      </c>
      <c r="K611" t="s">
        <v>876</v>
      </c>
      <c r="L611" t="s">
        <v>877</v>
      </c>
      <c r="M611" s="8">
        <v>-171.43</v>
      </c>
      <c r="N611" t="s">
        <v>0</v>
      </c>
      <c r="O611" t="s">
        <v>7</v>
      </c>
      <c r="P611" t="s">
        <v>8</v>
      </c>
    </row>
    <row r="612" spans="1:16" ht="13.95" customHeight="1" x14ac:dyDescent="0.25">
      <c r="A612" s="2" t="s">
        <v>0</v>
      </c>
      <c r="B612" t="s">
        <v>1</v>
      </c>
      <c r="C612" s="3">
        <v>46276</v>
      </c>
      <c r="D612" t="s">
        <v>2</v>
      </c>
      <c r="E612" t="s">
        <v>0</v>
      </c>
      <c r="F612" s="5">
        <v>122523</v>
      </c>
      <c r="G612" s="5" t="str">
        <f>VLOOKUP(F612,'[1]46974159BCSET2026'!$F:$AE,26,0)</f>
        <v>Sim</v>
      </c>
      <c r="H612" t="s">
        <v>3</v>
      </c>
      <c r="I612" s="3">
        <v>46276</v>
      </c>
      <c r="J612" t="s">
        <v>4</v>
      </c>
      <c r="K612" t="s">
        <v>878</v>
      </c>
      <c r="L612" t="s">
        <v>879</v>
      </c>
      <c r="M612" s="8">
        <v>-171.07</v>
      </c>
      <c r="N612" t="s">
        <v>0</v>
      </c>
      <c r="O612" t="s">
        <v>7</v>
      </c>
      <c r="P612" t="s">
        <v>8</v>
      </c>
    </row>
    <row r="613" spans="1:16" ht="13.95" customHeight="1" x14ac:dyDescent="0.25">
      <c r="A613" s="2" t="s">
        <v>0</v>
      </c>
      <c r="B613" t="s">
        <v>1</v>
      </c>
      <c r="C613" s="3">
        <v>46276</v>
      </c>
      <c r="D613" t="s">
        <v>2</v>
      </c>
      <c r="E613" t="s">
        <v>0</v>
      </c>
      <c r="F613" s="5">
        <v>122278</v>
      </c>
      <c r="G613" s="5" t="str">
        <f>VLOOKUP(F613,'[1]46974159BCSET2026'!$F:$AE,26,0)</f>
        <v>Sim</v>
      </c>
      <c r="H613" t="s">
        <v>3</v>
      </c>
      <c r="I613" s="3">
        <v>46276</v>
      </c>
      <c r="J613" t="s">
        <v>4</v>
      </c>
      <c r="K613" t="s">
        <v>880</v>
      </c>
      <c r="L613" t="s">
        <v>881</v>
      </c>
      <c r="M613" s="8">
        <v>-170.28</v>
      </c>
      <c r="N613" t="s">
        <v>0</v>
      </c>
      <c r="O613" t="s">
        <v>7</v>
      </c>
      <c r="P613" t="s">
        <v>8</v>
      </c>
    </row>
    <row r="614" spans="1:16" ht="13.95" customHeight="1" x14ac:dyDescent="0.25">
      <c r="A614" s="2" t="s">
        <v>0</v>
      </c>
      <c r="B614" t="s">
        <v>1</v>
      </c>
      <c r="C614" s="3">
        <v>46276</v>
      </c>
      <c r="D614" t="s">
        <v>2</v>
      </c>
      <c r="E614" t="s">
        <v>0</v>
      </c>
      <c r="F614" s="5">
        <v>122565</v>
      </c>
      <c r="G614" s="5" t="str">
        <f>VLOOKUP(F614,'[1]46974159BCSET2026'!$F:$AE,26,0)</f>
        <v>Sim</v>
      </c>
      <c r="H614" t="s">
        <v>3</v>
      </c>
      <c r="I614" s="3">
        <v>46276</v>
      </c>
      <c r="J614" t="s">
        <v>4</v>
      </c>
      <c r="K614" t="s">
        <v>882</v>
      </c>
      <c r="L614" t="s">
        <v>883</v>
      </c>
      <c r="M614" s="8">
        <v>-169.55</v>
      </c>
      <c r="N614" t="s">
        <v>0</v>
      </c>
      <c r="O614" t="s">
        <v>7</v>
      </c>
      <c r="P614" t="s">
        <v>8</v>
      </c>
    </row>
    <row r="615" spans="1:16" ht="13.95" customHeight="1" x14ac:dyDescent="0.25">
      <c r="A615" s="2" t="s">
        <v>0</v>
      </c>
      <c r="B615" t="s">
        <v>1</v>
      </c>
      <c r="C615" s="3">
        <v>46276</v>
      </c>
      <c r="D615" t="s">
        <v>2</v>
      </c>
      <c r="E615" t="s">
        <v>0</v>
      </c>
      <c r="F615" s="5">
        <v>122458</v>
      </c>
      <c r="G615" s="5" t="str">
        <f>VLOOKUP(F615,'[1]46974159BCSET2026'!$F:$AE,26,0)</f>
        <v>Sim</v>
      </c>
      <c r="H615" t="s">
        <v>3</v>
      </c>
      <c r="I615" s="3">
        <v>46276</v>
      </c>
      <c r="J615" t="s">
        <v>4</v>
      </c>
      <c r="K615" t="s">
        <v>884</v>
      </c>
      <c r="L615" t="s">
        <v>885</v>
      </c>
      <c r="M615" s="8">
        <v>-169.39</v>
      </c>
      <c r="N615" t="s">
        <v>0</v>
      </c>
      <c r="O615" t="s">
        <v>7</v>
      </c>
      <c r="P615" t="s">
        <v>8</v>
      </c>
    </row>
    <row r="616" spans="1:16" ht="13.95" customHeight="1" x14ac:dyDescent="0.25">
      <c r="A616" s="2" t="s">
        <v>0</v>
      </c>
      <c r="B616" t="s">
        <v>1</v>
      </c>
      <c r="C616" s="3">
        <v>46276</v>
      </c>
      <c r="D616" t="s">
        <v>2</v>
      </c>
      <c r="E616" t="s">
        <v>0</v>
      </c>
      <c r="F616" s="5">
        <v>122531</v>
      </c>
      <c r="G616" s="5" t="str">
        <f>VLOOKUP(F616,'[1]46974159BCSET2026'!$F:$AE,26,0)</f>
        <v>Sim</v>
      </c>
      <c r="H616" t="s">
        <v>3</v>
      </c>
      <c r="I616" s="3">
        <v>46276</v>
      </c>
      <c r="J616" t="s">
        <v>4</v>
      </c>
      <c r="K616" t="s">
        <v>181</v>
      </c>
      <c r="L616" t="s">
        <v>182</v>
      </c>
      <c r="M616" s="8">
        <v>-168.44</v>
      </c>
      <c r="N616" t="s">
        <v>0</v>
      </c>
      <c r="O616" t="s">
        <v>7</v>
      </c>
      <c r="P616" t="s">
        <v>8</v>
      </c>
    </row>
    <row r="617" spans="1:16" ht="13.95" customHeight="1" x14ac:dyDescent="0.25">
      <c r="A617" s="2" t="s">
        <v>0</v>
      </c>
      <c r="B617" t="s">
        <v>1</v>
      </c>
      <c r="C617" s="3">
        <v>46276</v>
      </c>
      <c r="D617" t="s">
        <v>2</v>
      </c>
      <c r="E617" t="s">
        <v>0</v>
      </c>
      <c r="F617" s="5">
        <v>122563</v>
      </c>
      <c r="G617" s="5" t="str">
        <f>VLOOKUP(F617,'[1]46974159BCSET2026'!$F:$AE,26,0)</f>
        <v>Sim</v>
      </c>
      <c r="H617" t="s">
        <v>3</v>
      </c>
      <c r="I617" s="3">
        <v>46276</v>
      </c>
      <c r="J617" t="s">
        <v>4</v>
      </c>
      <c r="K617" t="s">
        <v>886</v>
      </c>
      <c r="L617" t="s">
        <v>887</v>
      </c>
      <c r="M617" s="8">
        <v>-168.05</v>
      </c>
      <c r="N617" t="s">
        <v>0</v>
      </c>
      <c r="O617" t="s">
        <v>7</v>
      </c>
      <c r="P617" t="s">
        <v>8</v>
      </c>
    </row>
    <row r="618" spans="1:16" ht="13.95" customHeight="1" x14ac:dyDescent="0.25">
      <c r="A618" s="2" t="s">
        <v>0</v>
      </c>
      <c r="B618" t="s">
        <v>1</v>
      </c>
      <c r="C618" s="3">
        <v>46276</v>
      </c>
      <c r="D618" t="s">
        <v>2</v>
      </c>
      <c r="E618" t="s">
        <v>0</v>
      </c>
      <c r="F618" s="5">
        <v>122322</v>
      </c>
      <c r="G618" s="5" t="str">
        <f>VLOOKUP(F618,'[1]46974159BCSET2026'!$F:$AE,26,0)</f>
        <v>Sim</v>
      </c>
      <c r="H618" t="s">
        <v>3</v>
      </c>
      <c r="I618" s="3">
        <v>46276</v>
      </c>
      <c r="J618" t="s">
        <v>4</v>
      </c>
      <c r="K618" t="s">
        <v>888</v>
      </c>
      <c r="L618" t="s">
        <v>889</v>
      </c>
      <c r="M618" s="8">
        <v>-167.34</v>
      </c>
      <c r="N618" t="s">
        <v>0</v>
      </c>
      <c r="O618" t="s">
        <v>7</v>
      </c>
      <c r="P618" t="s">
        <v>8</v>
      </c>
    </row>
    <row r="619" spans="1:16" ht="13.95" customHeight="1" x14ac:dyDescent="0.25">
      <c r="A619" s="2" t="s">
        <v>0</v>
      </c>
      <c r="B619" t="s">
        <v>1</v>
      </c>
      <c r="C619" s="3">
        <v>46276</v>
      </c>
      <c r="D619" t="s">
        <v>2</v>
      </c>
      <c r="E619" t="s">
        <v>0</v>
      </c>
      <c r="F619" s="5">
        <v>122204</v>
      </c>
      <c r="G619" s="5" t="str">
        <f>VLOOKUP(F619,'[1]46974159BCSET2026'!$F:$AE,26,0)</f>
        <v>Sim</v>
      </c>
      <c r="H619" t="s">
        <v>3</v>
      </c>
      <c r="I619" s="3">
        <v>46276</v>
      </c>
      <c r="J619" t="s">
        <v>4</v>
      </c>
      <c r="K619" t="s">
        <v>890</v>
      </c>
      <c r="L619" t="s">
        <v>891</v>
      </c>
      <c r="M619" s="8">
        <v>-166.18</v>
      </c>
      <c r="N619" t="s">
        <v>0</v>
      </c>
      <c r="O619" t="s">
        <v>7</v>
      </c>
      <c r="P619" t="s">
        <v>8</v>
      </c>
    </row>
    <row r="620" spans="1:16" ht="13.95" customHeight="1" x14ac:dyDescent="0.25">
      <c r="A620" s="2" t="s">
        <v>0</v>
      </c>
      <c r="B620" t="s">
        <v>1</v>
      </c>
      <c r="C620" s="3">
        <v>46276</v>
      </c>
      <c r="D620" t="s">
        <v>2</v>
      </c>
      <c r="E620" t="s">
        <v>0</v>
      </c>
      <c r="F620" s="5">
        <v>122229</v>
      </c>
      <c r="G620" s="5" t="str">
        <f>VLOOKUP(F620,'[1]46974159BCSET2026'!$F:$AE,26,0)</f>
        <v>Sim</v>
      </c>
      <c r="H620" t="s">
        <v>3</v>
      </c>
      <c r="I620" s="3">
        <v>46276</v>
      </c>
      <c r="J620" t="s">
        <v>4</v>
      </c>
      <c r="K620" t="s">
        <v>892</v>
      </c>
      <c r="L620" t="s">
        <v>893</v>
      </c>
      <c r="M620" s="8">
        <v>-165.8</v>
      </c>
      <c r="N620" t="s">
        <v>0</v>
      </c>
      <c r="O620" t="s">
        <v>7</v>
      </c>
      <c r="P620" t="s">
        <v>8</v>
      </c>
    </row>
    <row r="621" spans="1:16" ht="13.95" customHeight="1" x14ac:dyDescent="0.25">
      <c r="A621" s="2" t="s">
        <v>0</v>
      </c>
      <c r="B621" t="s">
        <v>1</v>
      </c>
      <c r="C621" s="3">
        <v>46276</v>
      </c>
      <c r="D621" t="s">
        <v>2</v>
      </c>
      <c r="E621" t="s">
        <v>0</v>
      </c>
      <c r="F621" s="5">
        <v>122324</v>
      </c>
      <c r="G621" s="5" t="str">
        <f>VLOOKUP(F621,'[1]46974159BCSET2026'!$F:$AE,26,0)</f>
        <v>Sim</v>
      </c>
      <c r="H621" t="s">
        <v>3</v>
      </c>
      <c r="I621" s="3">
        <v>46276</v>
      </c>
      <c r="J621" t="s">
        <v>4</v>
      </c>
      <c r="K621" t="s">
        <v>894</v>
      </c>
      <c r="L621" t="s">
        <v>895</v>
      </c>
      <c r="M621" s="8">
        <v>-165.62</v>
      </c>
      <c r="N621" t="s">
        <v>0</v>
      </c>
      <c r="O621" t="s">
        <v>7</v>
      </c>
      <c r="P621" t="s">
        <v>8</v>
      </c>
    </row>
    <row r="622" spans="1:16" ht="13.95" customHeight="1" x14ac:dyDescent="0.25">
      <c r="A622" s="2" t="s">
        <v>0</v>
      </c>
      <c r="B622" t="s">
        <v>1</v>
      </c>
      <c r="C622" s="3">
        <v>46276</v>
      </c>
      <c r="D622" t="s">
        <v>2</v>
      </c>
      <c r="E622" t="s">
        <v>0</v>
      </c>
      <c r="F622" s="5">
        <v>122259</v>
      </c>
      <c r="G622" s="5" t="str">
        <f>VLOOKUP(F622,'[1]46974159BCSET2026'!$F:$AE,26,0)</f>
        <v>Sim</v>
      </c>
      <c r="H622" t="s">
        <v>3</v>
      </c>
      <c r="I622" s="3">
        <v>46276</v>
      </c>
      <c r="J622" t="s">
        <v>4</v>
      </c>
      <c r="K622" t="s">
        <v>896</v>
      </c>
      <c r="L622" t="s">
        <v>897</v>
      </c>
      <c r="M622" s="8">
        <v>-165.15</v>
      </c>
      <c r="N622" t="s">
        <v>0</v>
      </c>
      <c r="O622" t="s">
        <v>7</v>
      </c>
      <c r="P622" t="s">
        <v>8</v>
      </c>
    </row>
    <row r="623" spans="1:16" ht="13.95" customHeight="1" x14ac:dyDescent="0.25">
      <c r="A623" s="2" t="s">
        <v>0</v>
      </c>
      <c r="B623" t="s">
        <v>1</v>
      </c>
      <c r="C623" s="3">
        <v>46276</v>
      </c>
      <c r="D623" t="s">
        <v>2</v>
      </c>
      <c r="E623" t="s">
        <v>0</v>
      </c>
      <c r="F623" s="5">
        <v>122560</v>
      </c>
      <c r="G623" s="5" t="str">
        <f>VLOOKUP(F623,'[1]46974159BCSET2026'!$F:$AE,26,0)</f>
        <v>Sim</v>
      </c>
      <c r="H623" t="s">
        <v>3</v>
      </c>
      <c r="I623" s="3">
        <v>46276</v>
      </c>
      <c r="J623" t="s">
        <v>4</v>
      </c>
      <c r="K623" t="s">
        <v>898</v>
      </c>
      <c r="L623" t="s">
        <v>899</v>
      </c>
      <c r="M623" s="8">
        <v>-163.57</v>
      </c>
      <c r="N623" t="s">
        <v>0</v>
      </c>
      <c r="O623" t="s">
        <v>7</v>
      </c>
      <c r="P623" t="s">
        <v>8</v>
      </c>
    </row>
    <row r="624" spans="1:16" ht="13.95" customHeight="1" x14ac:dyDescent="0.25">
      <c r="A624" s="2" t="s">
        <v>0</v>
      </c>
      <c r="B624" t="s">
        <v>1</v>
      </c>
      <c r="C624" s="3">
        <v>46276</v>
      </c>
      <c r="D624" t="s">
        <v>2</v>
      </c>
      <c r="E624" t="s">
        <v>0</v>
      </c>
      <c r="F624" s="5">
        <v>122519</v>
      </c>
      <c r="G624" s="5" t="str">
        <f>VLOOKUP(F624,'[1]46974159BCSET2026'!$F:$AE,26,0)</f>
        <v>Sim</v>
      </c>
      <c r="H624" t="s">
        <v>3</v>
      </c>
      <c r="I624" s="3">
        <v>46276</v>
      </c>
      <c r="J624" t="s">
        <v>4</v>
      </c>
      <c r="K624" t="s">
        <v>900</v>
      </c>
      <c r="L624" t="s">
        <v>901</v>
      </c>
      <c r="M624" s="8">
        <v>-163.16</v>
      </c>
      <c r="N624" t="s">
        <v>0</v>
      </c>
      <c r="O624" t="s">
        <v>7</v>
      </c>
      <c r="P624" t="s">
        <v>8</v>
      </c>
    </row>
    <row r="625" spans="1:16" ht="13.95" customHeight="1" x14ac:dyDescent="0.25">
      <c r="A625" s="2" t="s">
        <v>0</v>
      </c>
      <c r="B625" t="s">
        <v>1</v>
      </c>
      <c r="C625" s="3">
        <v>46276</v>
      </c>
      <c r="D625" t="s">
        <v>2</v>
      </c>
      <c r="E625" t="s">
        <v>0</v>
      </c>
      <c r="F625" s="5">
        <v>122307</v>
      </c>
      <c r="G625" s="5" t="str">
        <f>VLOOKUP(F625,'[1]46974159BCSET2026'!$F:$AE,26,0)</f>
        <v>Sim</v>
      </c>
      <c r="H625" t="s">
        <v>3</v>
      </c>
      <c r="I625" s="3">
        <v>46276</v>
      </c>
      <c r="J625" t="s">
        <v>4</v>
      </c>
      <c r="K625" t="s">
        <v>902</v>
      </c>
      <c r="L625" t="s">
        <v>903</v>
      </c>
      <c r="M625" s="8">
        <v>-163.16</v>
      </c>
      <c r="N625" t="s">
        <v>0</v>
      </c>
      <c r="O625" t="s">
        <v>7</v>
      </c>
      <c r="P625" t="s">
        <v>8</v>
      </c>
    </row>
    <row r="626" spans="1:16" ht="13.95" customHeight="1" x14ac:dyDescent="0.25">
      <c r="A626" s="2" t="s">
        <v>0</v>
      </c>
      <c r="B626" t="s">
        <v>1</v>
      </c>
      <c r="C626" s="3">
        <v>46276</v>
      </c>
      <c r="D626" t="s">
        <v>2</v>
      </c>
      <c r="E626" t="s">
        <v>0</v>
      </c>
      <c r="F626" s="5">
        <v>122308</v>
      </c>
      <c r="G626" s="5" t="str">
        <f>VLOOKUP(F626,'[1]46974159BCSET2026'!$F:$AE,26,0)</f>
        <v>Sim</v>
      </c>
      <c r="H626" t="s">
        <v>3</v>
      </c>
      <c r="I626" s="3">
        <v>46276</v>
      </c>
      <c r="J626" t="s">
        <v>4</v>
      </c>
      <c r="K626" t="s">
        <v>904</v>
      </c>
      <c r="L626" t="s">
        <v>905</v>
      </c>
      <c r="M626" s="8">
        <v>-163.16</v>
      </c>
      <c r="N626" t="s">
        <v>0</v>
      </c>
      <c r="O626" t="s">
        <v>7</v>
      </c>
      <c r="P626" t="s">
        <v>8</v>
      </c>
    </row>
    <row r="627" spans="1:16" ht="13.95" customHeight="1" x14ac:dyDescent="0.25">
      <c r="A627" s="2" t="s">
        <v>0</v>
      </c>
      <c r="B627" t="s">
        <v>1</v>
      </c>
      <c r="C627" s="3">
        <v>46276</v>
      </c>
      <c r="D627" t="s">
        <v>2</v>
      </c>
      <c r="E627" t="s">
        <v>0</v>
      </c>
      <c r="F627" s="5">
        <v>122204</v>
      </c>
      <c r="G627" s="5" t="str">
        <f>VLOOKUP(F627,'[1]46974159BCSET2026'!$F:$AE,26,0)</f>
        <v>Sim</v>
      </c>
      <c r="H627" t="s">
        <v>3</v>
      </c>
      <c r="I627" s="3">
        <v>46276</v>
      </c>
      <c r="J627" t="s">
        <v>4</v>
      </c>
      <c r="K627" t="s">
        <v>890</v>
      </c>
      <c r="L627" t="s">
        <v>891</v>
      </c>
      <c r="M627" s="8">
        <v>-163.15</v>
      </c>
      <c r="N627" t="s">
        <v>0</v>
      </c>
      <c r="O627" t="s">
        <v>7</v>
      </c>
      <c r="P627" t="s">
        <v>8</v>
      </c>
    </row>
    <row r="628" spans="1:16" ht="13.95" customHeight="1" x14ac:dyDescent="0.25">
      <c r="A628" s="2" t="s">
        <v>0</v>
      </c>
      <c r="B628" t="s">
        <v>1</v>
      </c>
      <c r="C628" s="3">
        <v>46276</v>
      </c>
      <c r="D628" t="s">
        <v>2</v>
      </c>
      <c r="E628" t="s">
        <v>0</v>
      </c>
      <c r="F628" s="5">
        <v>122559</v>
      </c>
      <c r="G628" s="5" t="str">
        <f>VLOOKUP(F628,'[1]46974159BCSET2026'!$F:$AE,26,0)</f>
        <v>Sim</v>
      </c>
      <c r="H628" t="s">
        <v>3</v>
      </c>
      <c r="I628" s="3">
        <v>46276</v>
      </c>
      <c r="J628" t="s">
        <v>4</v>
      </c>
      <c r="K628" t="s">
        <v>906</v>
      </c>
      <c r="L628" t="s">
        <v>907</v>
      </c>
      <c r="M628" s="8">
        <v>-162.94</v>
      </c>
      <c r="N628" t="s">
        <v>0</v>
      </c>
      <c r="O628" t="s">
        <v>7</v>
      </c>
      <c r="P628" t="s">
        <v>8</v>
      </c>
    </row>
    <row r="629" spans="1:16" ht="13.95" customHeight="1" x14ac:dyDescent="0.25">
      <c r="A629" s="2" t="s">
        <v>0</v>
      </c>
      <c r="B629" t="s">
        <v>1</v>
      </c>
      <c r="C629" s="3">
        <v>46276</v>
      </c>
      <c r="D629" t="s">
        <v>2</v>
      </c>
      <c r="E629" t="s">
        <v>0</v>
      </c>
      <c r="F629" s="5">
        <v>122566</v>
      </c>
      <c r="G629" s="5" t="str">
        <f>VLOOKUP(F629,'[1]46974159BCSET2026'!$F:$AE,26,0)</f>
        <v>Sim</v>
      </c>
      <c r="H629" t="s">
        <v>3</v>
      </c>
      <c r="I629" s="3">
        <v>46276</v>
      </c>
      <c r="J629" t="s">
        <v>4</v>
      </c>
      <c r="K629" t="s">
        <v>908</v>
      </c>
      <c r="L629" t="s">
        <v>909</v>
      </c>
      <c r="M629" s="8">
        <v>-162.87</v>
      </c>
      <c r="N629" t="s">
        <v>0</v>
      </c>
      <c r="O629" t="s">
        <v>7</v>
      </c>
      <c r="P629" t="s">
        <v>8</v>
      </c>
    </row>
    <row r="630" spans="1:16" ht="13.95" customHeight="1" x14ac:dyDescent="0.25">
      <c r="A630" s="2" t="s">
        <v>0</v>
      </c>
      <c r="B630" t="s">
        <v>1</v>
      </c>
      <c r="C630" s="3">
        <v>46276</v>
      </c>
      <c r="D630" t="s">
        <v>2</v>
      </c>
      <c r="E630" t="s">
        <v>0</v>
      </c>
      <c r="F630" s="5">
        <v>122552</v>
      </c>
      <c r="G630" s="5" t="str">
        <f>VLOOKUP(F630,'[1]46974159BCSET2026'!$F:$AE,26,0)</f>
        <v>Sim</v>
      </c>
      <c r="H630" t="s">
        <v>3</v>
      </c>
      <c r="I630" s="3">
        <v>46276</v>
      </c>
      <c r="J630" t="s">
        <v>4</v>
      </c>
      <c r="K630" t="s">
        <v>910</v>
      </c>
      <c r="L630" t="s">
        <v>911</v>
      </c>
      <c r="M630" s="8">
        <v>-160.38</v>
      </c>
      <c r="N630" t="s">
        <v>0</v>
      </c>
      <c r="O630" t="s">
        <v>7</v>
      </c>
      <c r="P630" t="s">
        <v>8</v>
      </c>
    </row>
    <row r="631" spans="1:16" ht="13.95" customHeight="1" x14ac:dyDescent="0.25">
      <c r="A631" s="2" t="s">
        <v>0</v>
      </c>
      <c r="B631" t="s">
        <v>1</v>
      </c>
      <c r="C631" s="3">
        <v>46276</v>
      </c>
      <c r="D631" t="s">
        <v>2</v>
      </c>
      <c r="E631" t="s">
        <v>0</v>
      </c>
      <c r="F631" s="5">
        <v>122746</v>
      </c>
      <c r="G631" s="5" t="str">
        <f>VLOOKUP(F631,'[1]46974159BCSET2026'!$F:$AE,26,0)</f>
        <v>Sim</v>
      </c>
      <c r="H631" t="s">
        <v>3</v>
      </c>
      <c r="I631" s="3">
        <v>46276</v>
      </c>
      <c r="J631" t="s">
        <v>4</v>
      </c>
      <c r="K631" t="s">
        <v>912</v>
      </c>
      <c r="L631" t="s">
        <v>913</v>
      </c>
      <c r="M631" s="8">
        <v>-160.37</v>
      </c>
      <c r="N631" t="s">
        <v>0</v>
      </c>
      <c r="O631" t="s">
        <v>7</v>
      </c>
      <c r="P631" t="s">
        <v>8</v>
      </c>
    </row>
    <row r="632" spans="1:16" ht="13.95" customHeight="1" x14ac:dyDescent="0.25">
      <c r="A632" s="2" t="s">
        <v>0</v>
      </c>
      <c r="B632" t="s">
        <v>1</v>
      </c>
      <c r="C632" s="3">
        <v>46276</v>
      </c>
      <c r="D632" t="s">
        <v>2</v>
      </c>
      <c r="E632" t="s">
        <v>0</v>
      </c>
      <c r="F632" s="5">
        <v>122694</v>
      </c>
      <c r="G632" s="5" t="str">
        <f>VLOOKUP(F632,'[1]46974159BCSET2026'!$F:$AE,26,0)</f>
        <v>Sim</v>
      </c>
      <c r="H632" t="s">
        <v>3</v>
      </c>
      <c r="I632" s="3">
        <v>46276</v>
      </c>
      <c r="J632" t="s">
        <v>4</v>
      </c>
      <c r="K632" t="s">
        <v>914</v>
      </c>
      <c r="L632" t="s">
        <v>915</v>
      </c>
      <c r="M632" s="8">
        <v>-159.79</v>
      </c>
      <c r="N632" t="s">
        <v>0</v>
      </c>
      <c r="O632" t="s">
        <v>7</v>
      </c>
      <c r="P632" t="s">
        <v>8</v>
      </c>
    </row>
    <row r="633" spans="1:16" ht="13.95" customHeight="1" x14ac:dyDescent="0.25">
      <c r="A633" s="2" t="s">
        <v>0</v>
      </c>
      <c r="B633" t="s">
        <v>1</v>
      </c>
      <c r="C633" s="3">
        <v>46276</v>
      </c>
      <c r="D633" t="s">
        <v>2</v>
      </c>
      <c r="E633" t="s">
        <v>0</v>
      </c>
      <c r="F633" s="5">
        <v>122542</v>
      </c>
      <c r="G633" s="5" t="str">
        <f>VLOOKUP(F633,'[1]46974159BCSET2026'!$F:$AE,26,0)</f>
        <v>Sim</v>
      </c>
      <c r="H633" t="s">
        <v>3</v>
      </c>
      <c r="I633" s="3">
        <v>46276</v>
      </c>
      <c r="J633" t="s">
        <v>4</v>
      </c>
      <c r="K633" t="s">
        <v>788</v>
      </c>
      <c r="L633" t="s">
        <v>789</v>
      </c>
      <c r="M633" s="8">
        <v>-158.19999999999999</v>
      </c>
      <c r="N633" t="s">
        <v>0</v>
      </c>
      <c r="O633" t="s">
        <v>7</v>
      </c>
      <c r="P633" t="s">
        <v>8</v>
      </c>
    </row>
    <row r="634" spans="1:16" ht="13.95" customHeight="1" x14ac:dyDescent="0.25">
      <c r="A634" s="2" t="s">
        <v>0</v>
      </c>
      <c r="B634" t="s">
        <v>1</v>
      </c>
      <c r="C634" s="3">
        <v>46276</v>
      </c>
      <c r="D634" t="s">
        <v>2</v>
      </c>
      <c r="E634" t="s">
        <v>0</v>
      </c>
      <c r="F634" s="5">
        <v>122260</v>
      </c>
      <c r="G634" s="5" t="str">
        <f>VLOOKUP(F634,'[1]46974159BCSET2026'!$F:$AE,26,0)</f>
        <v>Sim</v>
      </c>
      <c r="H634" t="s">
        <v>3</v>
      </c>
      <c r="I634" s="3">
        <v>46276</v>
      </c>
      <c r="J634" t="s">
        <v>4</v>
      </c>
      <c r="K634" t="s">
        <v>916</v>
      </c>
      <c r="L634" t="s">
        <v>917</v>
      </c>
      <c r="M634" s="8">
        <v>-158.1</v>
      </c>
      <c r="N634" t="s">
        <v>0</v>
      </c>
      <c r="O634" t="s">
        <v>7</v>
      </c>
      <c r="P634" t="s">
        <v>8</v>
      </c>
    </row>
    <row r="635" spans="1:16" ht="13.95" customHeight="1" x14ac:dyDescent="0.25">
      <c r="A635" s="2" t="s">
        <v>0</v>
      </c>
      <c r="B635" t="s">
        <v>1</v>
      </c>
      <c r="C635" s="3">
        <v>46276</v>
      </c>
      <c r="D635" t="s">
        <v>2</v>
      </c>
      <c r="E635" t="s">
        <v>0</v>
      </c>
      <c r="F635" s="5">
        <v>122518</v>
      </c>
      <c r="G635" s="5" t="str">
        <f>VLOOKUP(F635,'[1]46974159BCSET2026'!$F:$AE,26,0)</f>
        <v>Sim</v>
      </c>
      <c r="H635" t="s">
        <v>3</v>
      </c>
      <c r="I635" s="3">
        <v>46276</v>
      </c>
      <c r="J635" t="s">
        <v>4</v>
      </c>
      <c r="K635" t="s">
        <v>794</v>
      </c>
      <c r="L635" t="s">
        <v>795</v>
      </c>
      <c r="M635" s="8">
        <v>-158.1</v>
      </c>
      <c r="N635" t="s">
        <v>0</v>
      </c>
      <c r="O635" t="s">
        <v>7</v>
      </c>
      <c r="P635" t="s">
        <v>8</v>
      </c>
    </row>
    <row r="636" spans="1:16" ht="13.95" customHeight="1" x14ac:dyDescent="0.25">
      <c r="A636" s="2" t="s">
        <v>0</v>
      </c>
      <c r="B636" t="s">
        <v>1</v>
      </c>
      <c r="C636" s="3">
        <v>46276</v>
      </c>
      <c r="D636" t="s">
        <v>2</v>
      </c>
      <c r="E636" t="s">
        <v>0</v>
      </c>
      <c r="F636" s="5">
        <v>122721</v>
      </c>
      <c r="G636" s="5" t="str">
        <f>VLOOKUP(F636,'[1]46974159BCSET2026'!$F:$AE,26,0)</f>
        <v>Sim</v>
      </c>
      <c r="H636" t="s">
        <v>3</v>
      </c>
      <c r="I636" s="3">
        <v>46276</v>
      </c>
      <c r="J636" t="s">
        <v>4</v>
      </c>
      <c r="K636" t="s">
        <v>918</v>
      </c>
      <c r="L636" t="s">
        <v>919</v>
      </c>
      <c r="M636" s="8">
        <v>-158.1</v>
      </c>
      <c r="N636" t="s">
        <v>0</v>
      </c>
      <c r="O636" t="s">
        <v>7</v>
      </c>
      <c r="P636" t="s">
        <v>8</v>
      </c>
    </row>
    <row r="637" spans="1:16" ht="13.95" customHeight="1" x14ac:dyDescent="0.25">
      <c r="A637" s="2" t="s">
        <v>0</v>
      </c>
      <c r="B637" t="s">
        <v>1</v>
      </c>
      <c r="C637" s="3">
        <v>46276</v>
      </c>
      <c r="D637" t="s">
        <v>2</v>
      </c>
      <c r="E637" t="s">
        <v>0</v>
      </c>
      <c r="F637" s="5">
        <v>122535</v>
      </c>
      <c r="G637" s="5" t="str">
        <f>VLOOKUP(F637,'[1]46974159BCSET2026'!$F:$AE,26,0)</f>
        <v>Sim</v>
      </c>
      <c r="H637" t="s">
        <v>3</v>
      </c>
      <c r="I637" s="3">
        <v>46276</v>
      </c>
      <c r="J637" t="s">
        <v>4</v>
      </c>
      <c r="K637" t="s">
        <v>920</v>
      </c>
      <c r="L637" t="s">
        <v>921</v>
      </c>
      <c r="M637" s="8">
        <v>-157.37</v>
      </c>
      <c r="N637" t="s">
        <v>0</v>
      </c>
      <c r="O637" t="s">
        <v>7</v>
      </c>
      <c r="P637" t="s">
        <v>8</v>
      </c>
    </row>
    <row r="638" spans="1:16" ht="13.95" customHeight="1" x14ac:dyDescent="0.25">
      <c r="A638" s="2" t="s">
        <v>0</v>
      </c>
      <c r="B638" t="s">
        <v>1</v>
      </c>
      <c r="C638" s="3">
        <v>46276</v>
      </c>
      <c r="D638" t="s">
        <v>2</v>
      </c>
      <c r="E638" t="s">
        <v>0</v>
      </c>
      <c r="F638" s="5">
        <v>122617</v>
      </c>
      <c r="G638" s="5" t="str">
        <f>VLOOKUP(F638,'[1]46974159BCSET2026'!$F:$AE,26,0)</f>
        <v>Sim</v>
      </c>
      <c r="H638" t="s">
        <v>3</v>
      </c>
      <c r="I638" s="3">
        <v>46276</v>
      </c>
      <c r="J638" t="s">
        <v>4</v>
      </c>
      <c r="K638" t="s">
        <v>922</v>
      </c>
      <c r="L638" t="s">
        <v>923</v>
      </c>
      <c r="M638" s="8">
        <v>-157.13999999999999</v>
      </c>
      <c r="N638" t="s">
        <v>0</v>
      </c>
      <c r="O638" t="s">
        <v>7</v>
      </c>
      <c r="P638" t="s">
        <v>8</v>
      </c>
    </row>
    <row r="639" spans="1:16" ht="13.95" customHeight="1" x14ac:dyDescent="0.25">
      <c r="A639" s="2" t="s">
        <v>0</v>
      </c>
      <c r="B639" t="s">
        <v>1</v>
      </c>
      <c r="C639" s="3">
        <v>46276</v>
      </c>
      <c r="D639" t="s">
        <v>2</v>
      </c>
      <c r="E639" t="s">
        <v>0</v>
      </c>
      <c r="F639" s="5">
        <v>122543</v>
      </c>
      <c r="G639" s="5" t="str">
        <f>VLOOKUP(F639,'[1]46974159BCSET2026'!$F:$AE,26,0)</f>
        <v>Sim</v>
      </c>
      <c r="H639" t="s">
        <v>3</v>
      </c>
      <c r="I639" s="3">
        <v>46276</v>
      </c>
      <c r="J639" t="s">
        <v>4</v>
      </c>
      <c r="K639" t="s">
        <v>844</v>
      </c>
      <c r="L639" t="s">
        <v>845</v>
      </c>
      <c r="M639" s="8">
        <v>-156.22999999999999</v>
      </c>
      <c r="N639" t="s">
        <v>0</v>
      </c>
      <c r="O639" t="s">
        <v>7</v>
      </c>
      <c r="P639" t="s">
        <v>8</v>
      </c>
    </row>
    <row r="640" spans="1:16" ht="13.95" customHeight="1" x14ac:dyDescent="0.25">
      <c r="A640" s="2" t="s">
        <v>0</v>
      </c>
      <c r="B640" t="s">
        <v>1</v>
      </c>
      <c r="C640" s="3">
        <v>46276</v>
      </c>
      <c r="D640" t="s">
        <v>2</v>
      </c>
      <c r="E640" t="s">
        <v>0</v>
      </c>
      <c r="F640" s="5">
        <v>122540</v>
      </c>
      <c r="G640" s="5" t="str">
        <f>VLOOKUP(F640,'[1]46974159BCSET2026'!$F:$AE,26,0)</f>
        <v>Sim</v>
      </c>
      <c r="H640" t="s">
        <v>3</v>
      </c>
      <c r="I640" s="3">
        <v>46276</v>
      </c>
      <c r="J640" t="s">
        <v>4</v>
      </c>
      <c r="K640" t="s">
        <v>814</v>
      </c>
      <c r="L640" t="s">
        <v>815</v>
      </c>
      <c r="M640" s="8">
        <v>-155.6</v>
      </c>
      <c r="N640" t="s">
        <v>0</v>
      </c>
      <c r="O640" t="s">
        <v>7</v>
      </c>
      <c r="P640" t="s">
        <v>8</v>
      </c>
    </row>
    <row r="641" spans="1:16" ht="13.95" customHeight="1" x14ac:dyDescent="0.25">
      <c r="A641" s="2" t="s">
        <v>0</v>
      </c>
      <c r="B641" t="s">
        <v>1</v>
      </c>
      <c r="C641" s="3">
        <v>46276</v>
      </c>
      <c r="D641" t="s">
        <v>2</v>
      </c>
      <c r="E641" t="s">
        <v>0</v>
      </c>
      <c r="F641" s="5">
        <v>122309</v>
      </c>
      <c r="G641" s="5" t="str">
        <f>VLOOKUP(F641,'[1]46974159BCSET2026'!$F:$AE,26,0)</f>
        <v>Sim</v>
      </c>
      <c r="H641" t="s">
        <v>3</v>
      </c>
      <c r="I641" s="3">
        <v>46276</v>
      </c>
      <c r="J641" t="s">
        <v>4</v>
      </c>
      <c r="K641" t="s">
        <v>924</v>
      </c>
      <c r="L641" t="s">
        <v>925</v>
      </c>
      <c r="M641" s="8">
        <v>-155.6</v>
      </c>
      <c r="N641" t="s">
        <v>0</v>
      </c>
      <c r="O641" t="s">
        <v>7</v>
      </c>
      <c r="P641" t="s">
        <v>8</v>
      </c>
    </row>
    <row r="642" spans="1:16" ht="13.95" customHeight="1" x14ac:dyDescent="0.25">
      <c r="A642" s="2" t="s">
        <v>0</v>
      </c>
      <c r="B642" t="s">
        <v>1</v>
      </c>
      <c r="C642" s="3">
        <v>46276</v>
      </c>
      <c r="D642" t="s">
        <v>2</v>
      </c>
      <c r="E642" t="s">
        <v>0</v>
      </c>
      <c r="F642" s="5">
        <v>122310</v>
      </c>
      <c r="G642" s="5" t="str">
        <f>VLOOKUP(F642,'[1]46974159BCSET2026'!$F:$AE,26,0)</f>
        <v>Sim</v>
      </c>
      <c r="H642" t="s">
        <v>3</v>
      </c>
      <c r="I642" s="3">
        <v>46276</v>
      </c>
      <c r="J642" t="s">
        <v>4</v>
      </c>
      <c r="K642" t="s">
        <v>926</v>
      </c>
      <c r="L642" t="s">
        <v>927</v>
      </c>
      <c r="M642" s="8">
        <v>-155.6</v>
      </c>
      <c r="N642" t="s">
        <v>0</v>
      </c>
      <c r="O642" t="s">
        <v>7</v>
      </c>
      <c r="P642" t="s">
        <v>8</v>
      </c>
    </row>
    <row r="643" spans="1:16" ht="13.95" customHeight="1" x14ac:dyDescent="0.25">
      <c r="A643" s="2" t="s">
        <v>0</v>
      </c>
      <c r="B643" t="s">
        <v>1</v>
      </c>
      <c r="C643" s="3">
        <v>46276</v>
      </c>
      <c r="D643" t="s">
        <v>2</v>
      </c>
      <c r="E643" t="s">
        <v>0</v>
      </c>
      <c r="F643" s="5">
        <v>122744</v>
      </c>
      <c r="G643" s="5" t="str">
        <f>VLOOKUP(F643,'[1]46974159BCSET2026'!$F:$AE,26,0)</f>
        <v>Sim</v>
      </c>
      <c r="H643" t="s">
        <v>3</v>
      </c>
      <c r="I643" s="3">
        <v>46276</v>
      </c>
      <c r="J643" t="s">
        <v>4</v>
      </c>
      <c r="K643" t="s">
        <v>928</v>
      </c>
      <c r="L643" t="s">
        <v>929</v>
      </c>
      <c r="M643" s="8">
        <v>-155.32</v>
      </c>
      <c r="N643" t="s">
        <v>0</v>
      </c>
      <c r="O643" t="s">
        <v>7</v>
      </c>
      <c r="P643" t="s">
        <v>8</v>
      </c>
    </row>
    <row r="644" spans="1:16" ht="13.95" customHeight="1" x14ac:dyDescent="0.25">
      <c r="A644" s="2" t="s">
        <v>0</v>
      </c>
      <c r="B644" t="s">
        <v>1</v>
      </c>
      <c r="C644" s="3">
        <v>46276</v>
      </c>
      <c r="D644" t="s">
        <v>2</v>
      </c>
      <c r="E644" t="s">
        <v>0</v>
      </c>
      <c r="F644" s="5">
        <v>122637</v>
      </c>
      <c r="G644" s="5" t="str">
        <f>VLOOKUP(F644,'[1]46974159BCSET2026'!$F:$AE,26,0)</f>
        <v>Sim</v>
      </c>
      <c r="H644" t="s">
        <v>3</v>
      </c>
      <c r="I644" s="3">
        <v>46276</v>
      </c>
      <c r="J644" t="s">
        <v>4</v>
      </c>
      <c r="K644" t="s">
        <v>263</v>
      </c>
      <c r="L644" t="s">
        <v>264</v>
      </c>
      <c r="M644" s="8">
        <v>-155.1</v>
      </c>
      <c r="N644" t="s">
        <v>0</v>
      </c>
      <c r="O644" t="s">
        <v>7</v>
      </c>
      <c r="P644" t="s">
        <v>8</v>
      </c>
    </row>
    <row r="645" spans="1:16" ht="13.95" hidden="1" customHeight="1" x14ac:dyDescent="0.25">
      <c r="A645" s="2" t="s">
        <v>0</v>
      </c>
      <c r="B645" t="s">
        <v>1</v>
      </c>
      <c r="C645" s="3">
        <v>46276</v>
      </c>
      <c r="D645" t="s">
        <v>2</v>
      </c>
      <c r="E645" t="s">
        <v>0</v>
      </c>
      <c r="F645" s="5">
        <v>122564</v>
      </c>
      <c r="G645" s="5" t="str">
        <f>VLOOKUP(F645,'[1]46974159BCSET2026'!$F:$AE,26,0)</f>
        <v>Cancelada</v>
      </c>
      <c r="H645" t="s">
        <v>3</v>
      </c>
      <c r="I645" s="3">
        <v>46276</v>
      </c>
      <c r="J645" t="s">
        <v>4</v>
      </c>
      <c r="K645" t="s">
        <v>257</v>
      </c>
      <c r="L645" t="s">
        <v>258</v>
      </c>
      <c r="M645" s="8">
        <v>-155.1</v>
      </c>
      <c r="N645" t="s">
        <v>0</v>
      </c>
      <c r="O645" t="s">
        <v>7</v>
      </c>
      <c r="P645" t="s">
        <v>8</v>
      </c>
    </row>
    <row r="646" spans="1:16" ht="13.95" customHeight="1" x14ac:dyDescent="0.25">
      <c r="A646" s="2" t="s">
        <v>0</v>
      </c>
      <c r="B646" t="s">
        <v>1</v>
      </c>
      <c r="C646" s="3">
        <v>46276</v>
      </c>
      <c r="D646" t="s">
        <v>2</v>
      </c>
      <c r="E646" t="s">
        <v>0</v>
      </c>
      <c r="F646" s="5">
        <v>122794</v>
      </c>
      <c r="G646" s="5" t="str">
        <f>VLOOKUP(F646,'[1]46974159BCSET2026'!$F:$AE,26,0)</f>
        <v>Sim</v>
      </c>
      <c r="H646" t="s">
        <v>3</v>
      </c>
      <c r="I646" s="3">
        <v>46276</v>
      </c>
      <c r="J646" t="s">
        <v>4</v>
      </c>
      <c r="K646" t="s">
        <v>930</v>
      </c>
      <c r="L646" t="s">
        <v>931</v>
      </c>
      <c r="M646" s="8">
        <v>-155.1</v>
      </c>
      <c r="N646" t="s">
        <v>0</v>
      </c>
      <c r="O646" t="s">
        <v>7</v>
      </c>
      <c r="P646" t="s">
        <v>8</v>
      </c>
    </row>
    <row r="647" spans="1:16" ht="13.95" customHeight="1" x14ac:dyDescent="0.25">
      <c r="A647" s="2" t="s">
        <v>0</v>
      </c>
      <c r="B647" t="s">
        <v>1</v>
      </c>
      <c r="C647" s="3">
        <v>46276</v>
      </c>
      <c r="D647" t="s">
        <v>2</v>
      </c>
      <c r="E647" t="s">
        <v>0</v>
      </c>
      <c r="F647" s="5">
        <v>122220</v>
      </c>
      <c r="G647" s="5" t="str">
        <f>VLOOKUP(F647,'[1]46974159BCSET2026'!$F:$AE,26,0)</f>
        <v>Sim</v>
      </c>
      <c r="H647" t="s">
        <v>3</v>
      </c>
      <c r="I647" s="3">
        <v>46276</v>
      </c>
      <c r="J647" t="s">
        <v>4</v>
      </c>
      <c r="K647" t="s">
        <v>604</v>
      </c>
      <c r="L647" t="s">
        <v>605</v>
      </c>
      <c r="M647" s="8">
        <v>-154.81</v>
      </c>
      <c r="N647" t="s">
        <v>0</v>
      </c>
      <c r="O647" t="s">
        <v>7</v>
      </c>
      <c r="P647" t="s">
        <v>8</v>
      </c>
    </row>
    <row r="648" spans="1:16" ht="13.95" customHeight="1" x14ac:dyDescent="0.25">
      <c r="A648" s="2" t="s">
        <v>0</v>
      </c>
      <c r="B648" t="s">
        <v>1</v>
      </c>
      <c r="C648" s="3">
        <v>46276</v>
      </c>
      <c r="D648" t="s">
        <v>2</v>
      </c>
      <c r="E648" t="s">
        <v>0</v>
      </c>
      <c r="F648" s="5">
        <v>122632</v>
      </c>
      <c r="G648" s="5" t="str">
        <f>VLOOKUP(F648,'[1]46974159BCSET2026'!$F:$AE,26,0)</f>
        <v>Sim</v>
      </c>
      <c r="H648" t="s">
        <v>3</v>
      </c>
      <c r="I648" s="3">
        <v>46276</v>
      </c>
      <c r="J648" t="s">
        <v>4</v>
      </c>
      <c r="K648" t="s">
        <v>932</v>
      </c>
      <c r="L648" t="s">
        <v>933</v>
      </c>
      <c r="M648" s="8">
        <v>-154.13</v>
      </c>
      <c r="N648" t="s">
        <v>0</v>
      </c>
      <c r="O648" t="s">
        <v>7</v>
      </c>
      <c r="P648" t="s">
        <v>8</v>
      </c>
    </row>
    <row r="649" spans="1:16" ht="13.95" customHeight="1" x14ac:dyDescent="0.25">
      <c r="A649" s="2" t="s">
        <v>0</v>
      </c>
      <c r="B649" t="s">
        <v>1</v>
      </c>
      <c r="C649" s="3">
        <v>46276</v>
      </c>
      <c r="D649" t="s">
        <v>2</v>
      </c>
      <c r="E649" t="s">
        <v>0</v>
      </c>
      <c r="F649" s="5">
        <v>122725</v>
      </c>
      <c r="G649" s="5" t="str">
        <f>VLOOKUP(F649,'[1]46974159BCSET2026'!$F:$AE,26,0)</f>
        <v>Sim</v>
      </c>
      <c r="H649" t="s">
        <v>3</v>
      </c>
      <c r="I649" s="3">
        <v>46276</v>
      </c>
      <c r="J649" t="s">
        <v>4</v>
      </c>
      <c r="K649" t="s">
        <v>934</v>
      </c>
      <c r="L649" t="s">
        <v>935</v>
      </c>
      <c r="M649" s="8">
        <v>-154.13</v>
      </c>
      <c r="N649" t="s">
        <v>0</v>
      </c>
      <c r="O649" t="s">
        <v>7</v>
      </c>
      <c r="P649" t="s">
        <v>8</v>
      </c>
    </row>
    <row r="650" spans="1:16" ht="13.95" customHeight="1" x14ac:dyDescent="0.25">
      <c r="A650" s="2" t="s">
        <v>0</v>
      </c>
      <c r="B650" t="s">
        <v>1</v>
      </c>
      <c r="C650" s="3">
        <v>46276</v>
      </c>
      <c r="D650" t="s">
        <v>2</v>
      </c>
      <c r="E650" t="s">
        <v>0</v>
      </c>
      <c r="F650" s="5">
        <v>122578</v>
      </c>
      <c r="G650" s="5" t="str">
        <f>VLOOKUP(F650,'[1]46974159BCSET2026'!$F:$AE,26,0)</f>
        <v>Sim</v>
      </c>
      <c r="H650" t="s">
        <v>3</v>
      </c>
      <c r="I650" s="3">
        <v>46276</v>
      </c>
      <c r="J650" t="s">
        <v>4</v>
      </c>
      <c r="K650" t="s">
        <v>936</v>
      </c>
      <c r="L650" t="s">
        <v>937</v>
      </c>
      <c r="M650" s="8">
        <v>-153.91999999999999</v>
      </c>
      <c r="N650" t="s">
        <v>0</v>
      </c>
      <c r="O650" t="s">
        <v>7</v>
      </c>
      <c r="P650" t="s">
        <v>8</v>
      </c>
    </row>
    <row r="651" spans="1:16" ht="13.95" customHeight="1" x14ac:dyDescent="0.25">
      <c r="A651" s="2" t="s">
        <v>0</v>
      </c>
      <c r="B651" t="s">
        <v>1</v>
      </c>
      <c r="C651" s="3">
        <v>46276</v>
      </c>
      <c r="D651" t="s">
        <v>2</v>
      </c>
      <c r="E651" t="s">
        <v>0</v>
      </c>
      <c r="F651" s="5">
        <v>122754</v>
      </c>
      <c r="G651" s="5" t="str">
        <f>VLOOKUP(F651,'[1]46974159BCSET2026'!$F:$AE,26,0)</f>
        <v>Sim</v>
      </c>
      <c r="H651" t="s">
        <v>3</v>
      </c>
      <c r="I651" s="3">
        <v>46276</v>
      </c>
      <c r="J651" t="s">
        <v>4</v>
      </c>
      <c r="K651" t="s">
        <v>938</v>
      </c>
      <c r="L651" t="s">
        <v>939</v>
      </c>
      <c r="M651" s="8">
        <v>-153.06</v>
      </c>
      <c r="N651" t="s">
        <v>0</v>
      </c>
      <c r="O651" t="s">
        <v>7</v>
      </c>
      <c r="P651" t="s">
        <v>8</v>
      </c>
    </row>
    <row r="652" spans="1:16" ht="13.95" customHeight="1" x14ac:dyDescent="0.25">
      <c r="A652" s="2" t="s">
        <v>0</v>
      </c>
      <c r="B652" t="s">
        <v>1</v>
      </c>
      <c r="C652" s="3">
        <v>46276</v>
      </c>
      <c r="D652" t="s">
        <v>2</v>
      </c>
      <c r="E652" t="s">
        <v>0</v>
      </c>
      <c r="F652" s="5">
        <v>122316</v>
      </c>
      <c r="G652" s="5" t="str">
        <f>VLOOKUP(F652,'[1]46974159BCSET2026'!$F:$AE,26,0)</f>
        <v>Sim</v>
      </c>
      <c r="H652" t="s">
        <v>3</v>
      </c>
      <c r="I652" s="3">
        <v>46276</v>
      </c>
      <c r="J652" t="s">
        <v>4</v>
      </c>
      <c r="K652" t="s">
        <v>940</v>
      </c>
      <c r="L652" t="s">
        <v>941</v>
      </c>
      <c r="M652" s="8">
        <v>-152.88999999999999</v>
      </c>
      <c r="N652" t="s">
        <v>0</v>
      </c>
      <c r="O652" t="s">
        <v>7</v>
      </c>
      <c r="P652" t="s">
        <v>8</v>
      </c>
    </row>
    <row r="653" spans="1:16" ht="13.95" customHeight="1" x14ac:dyDescent="0.25">
      <c r="A653" s="2" t="s">
        <v>0</v>
      </c>
      <c r="B653" t="s">
        <v>1</v>
      </c>
      <c r="C653" s="3">
        <v>46276</v>
      </c>
      <c r="D653" t="s">
        <v>2</v>
      </c>
      <c r="E653" t="s">
        <v>0</v>
      </c>
      <c r="F653" s="5">
        <v>122254</v>
      </c>
      <c r="G653" s="5" t="str">
        <f>VLOOKUP(F653,'[1]46974159BCSET2026'!$F:$AE,26,0)</f>
        <v>Sim</v>
      </c>
      <c r="H653" t="s">
        <v>3</v>
      </c>
      <c r="I653" s="3">
        <v>46276</v>
      </c>
      <c r="J653" t="s">
        <v>4</v>
      </c>
      <c r="K653" t="s">
        <v>942</v>
      </c>
      <c r="L653" t="s">
        <v>943</v>
      </c>
      <c r="M653" s="8">
        <v>-152.66</v>
      </c>
      <c r="N653" t="s">
        <v>0</v>
      </c>
      <c r="O653" t="s">
        <v>7</v>
      </c>
      <c r="P653" t="s">
        <v>8</v>
      </c>
    </row>
    <row r="654" spans="1:16" ht="13.95" customHeight="1" x14ac:dyDescent="0.25">
      <c r="A654" s="2" t="s">
        <v>0</v>
      </c>
      <c r="B654" t="s">
        <v>1</v>
      </c>
      <c r="C654" s="3">
        <v>46276</v>
      </c>
      <c r="D654" t="s">
        <v>2</v>
      </c>
      <c r="E654" t="s">
        <v>0</v>
      </c>
      <c r="F654" s="5">
        <v>122726</v>
      </c>
      <c r="G654" s="5" t="str">
        <f>VLOOKUP(F654,'[1]46974159BCSET2026'!$F:$AE,26,0)</f>
        <v>Sim</v>
      </c>
      <c r="H654" t="s">
        <v>3</v>
      </c>
      <c r="I654" s="3">
        <v>46276</v>
      </c>
      <c r="J654" t="s">
        <v>4</v>
      </c>
      <c r="K654" t="s">
        <v>944</v>
      </c>
      <c r="L654" t="s">
        <v>945</v>
      </c>
      <c r="M654" s="8">
        <v>-152.66</v>
      </c>
      <c r="N654" t="s">
        <v>0</v>
      </c>
      <c r="O654" t="s">
        <v>7</v>
      </c>
      <c r="P654" t="s">
        <v>8</v>
      </c>
    </row>
    <row r="655" spans="1:16" ht="13.95" customHeight="1" x14ac:dyDescent="0.25">
      <c r="A655" s="2" t="s">
        <v>0</v>
      </c>
      <c r="B655" t="s">
        <v>1</v>
      </c>
      <c r="C655" s="3">
        <v>46276</v>
      </c>
      <c r="D655" t="s">
        <v>2</v>
      </c>
      <c r="E655" t="s">
        <v>0</v>
      </c>
      <c r="F655" s="5">
        <v>122325</v>
      </c>
      <c r="G655" s="5" t="str">
        <f>VLOOKUP(F655,'[1]46974159BCSET2026'!$F:$AE,26,0)</f>
        <v>Sim</v>
      </c>
      <c r="H655" t="s">
        <v>3</v>
      </c>
      <c r="I655" s="3">
        <v>46276</v>
      </c>
      <c r="J655" t="s">
        <v>4</v>
      </c>
      <c r="K655" t="s">
        <v>946</v>
      </c>
      <c r="L655" t="s">
        <v>947</v>
      </c>
      <c r="M655" s="8">
        <v>-152.30000000000001</v>
      </c>
      <c r="N655" t="s">
        <v>0</v>
      </c>
      <c r="O655" t="s">
        <v>7</v>
      </c>
      <c r="P655" t="s">
        <v>8</v>
      </c>
    </row>
    <row r="656" spans="1:16" ht="13.95" customHeight="1" x14ac:dyDescent="0.25">
      <c r="A656" s="2" t="s">
        <v>0</v>
      </c>
      <c r="B656" t="s">
        <v>1</v>
      </c>
      <c r="C656" s="3">
        <v>46276</v>
      </c>
      <c r="D656" t="s">
        <v>2</v>
      </c>
      <c r="E656" t="s">
        <v>0</v>
      </c>
      <c r="F656" s="5">
        <v>122333</v>
      </c>
      <c r="G656" s="5" t="str">
        <f>VLOOKUP(F656,'[1]46974159BCSET2026'!$F:$AE,26,0)</f>
        <v>Sim</v>
      </c>
      <c r="H656" t="s">
        <v>3</v>
      </c>
      <c r="I656" s="3">
        <v>46276</v>
      </c>
      <c r="J656" t="s">
        <v>4</v>
      </c>
      <c r="K656" t="s">
        <v>948</v>
      </c>
      <c r="L656" t="s">
        <v>949</v>
      </c>
      <c r="M656" s="8">
        <v>-151.93</v>
      </c>
      <c r="N656" t="s">
        <v>0</v>
      </c>
      <c r="O656" t="s">
        <v>7</v>
      </c>
      <c r="P656" t="s">
        <v>8</v>
      </c>
    </row>
    <row r="657" spans="1:16" ht="13.95" customHeight="1" x14ac:dyDescent="0.25">
      <c r="A657" s="2" t="s">
        <v>0</v>
      </c>
      <c r="B657" t="s">
        <v>1</v>
      </c>
      <c r="C657" s="3">
        <v>46276</v>
      </c>
      <c r="D657" t="s">
        <v>2</v>
      </c>
      <c r="E657" t="s">
        <v>0</v>
      </c>
      <c r="F657" s="5">
        <v>122363</v>
      </c>
      <c r="G657" s="5" t="str">
        <f>VLOOKUP(F657,'[1]46974159BCSET2026'!$F:$AE,26,0)</f>
        <v>Sim</v>
      </c>
      <c r="H657" t="s">
        <v>3</v>
      </c>
      <c r="I657" s="3">
        <v>46276</v>
      </c>
      <c r="J657" t="s">
        <v>4</v>
      </c>
      <c r="K657" t="s">
        <v>950</v>
      </c>
      <c r="L657" t="s">
        <v>951</v>
      </c>
      <c r="M657" s="8">
        <v>-151.87</v>
      </c>
      <c r="N657" t="s">
        <v>0</v>
      </c>
      <c r="O657" t="s">
        <v>7</v>
      </c>
      <c r="P657" t="s">
        <v>8</v>
      </c>
    </row>
    <row r="658" spans="1:16" ht="13.95" customHeight="1" x14ac:dyDescent="0.25">
      <c r="A658" s="2" t="s">
        <v>0</v>
      </c>
      <c r="B658" t="s">
        <v>1</v>
      </c>
      <c r="C658" s="3">
        <v>46276</v>
      </c>
      <c r="D658" t="s">
        <v>2</v>
      </c>
      <c r="E658" t="s">
        <v>0</v>
      </c>
      <c r="F658" s="5">
        <v>122739</v>
      </c>
      <c r="G658" s="5" t="str">
        <f>VLOOKUP(F658,'[1]46974159BCSET2026'!$F:$AE,26,0)</f>
        <v>Sim</v>
      </c>
      <c r="H658" t="s">
        <v>3</v>
      </c>
      <c r="I658" s="3">
        <v>46276</v>
      </c>
      <c r="J658" t="s">
        <v>4</v>
      </c>
      <c r="K658" t="s">
        <v>952</v>
      </c>
      <c r="L658" t="s">
        <v>953</v>
      </c>
      <c r="M658" s="8">
        <v>-151.82</v>
      </c>
      <c r="N658" t="s">
        <v>0</v>
      </c>
      <c r="O658" t="s">
        <v>7</v>
      </c>
      <c r="P658" t="s">
        <v>8</v>
      </c>
    </row>
    <row r="659" spans="1:16" ht="13.95" customHeight="1" x14ac:dyDescent="0.25">
      <c r="A659" s="2" t="s">
        <v>0</v>
      </c>
      <c r="B659" t="s">
        <v>1</v>
      </c>
      <c r="C659" s="3">
        <v>46276</v>
      </c>
      <c r="D659" t="s">
        <v>2</v>
      </c>
      <c r="E659" t="s">
        <v>0</v>
      </c>
      <c r="F659" s="5">
        <v>122747</v>
      </c>
      <c r="G659" s="5" t="str">
        <f>VLOOKUP(F659,'[1]46974159BCSET2026'!$F:$AE,26,0)</f>
        <v>Sim</v>
      </c>
      <c r="H659" t="s">
        <v>3</v>
      </c>
      <c r="I659" s="3">
        <v>46276</v>
      </c>
      <c r="J659" t="s">
        <v>4</v>
      </c>
      <c r="K659" t="s">
        <v>954</v>
      </c>
      <c r="L659" t="s">
        <v>955</v>
      </c>
      <c r="M659" s="8">
        <v>-151.69999999999999</v>
      </c>
      <c r="N659" t="s">
        <v>0</v>
      </c>
      <c r="O659" t="s">
        <v>7</v>
      </c>
      <c r="P659" t="s">
        <v>8</v>
      </c>
    </row>
    <row r="660" spans="1:16" ht="13.95" customHeight="1" x14ac:dyDescent="0.25">
      <c r="A660" s="2" t="s">
        <v>0</v>
      </c>
      <c r="B660" t="s">
        <v>1</v>
      </c>
      <c r="C660" s="3">
        <v>46276</v>
      </c>
      <c r="D660" t="s">
        <v>2</v>
      </c>
      <c r="E660" t="s">
        <v>0</v>
      </c>
      <c r="F660" s="5">
        <v>122719</v>
      </c>
      <c r="G660" s="5" t="str">
        <f>VLOOKUP(F660,'[1]46974159BCSET2026'!$F:$AE,26,0)</f>
        <v>Sim</v>
      </c>
      <c r="H660" t="s">
        <v>3</v>
      </c>
      <c r="I660" s="3">
        <v>46276</v>
      </c>
      <c r="J660" t="s">
        <v>4</v>
      </c>
      <c r="K660" t="s">
        <v>956</v>
      </c>
      <c r="L660" t="s">
        <v>957</v>
      </c>
      <c r="M660" s="8">
        <v>-151.52000000000001</v>
      </c>
      <c r="N660" t="s">
        <v>0</v>
      </c>
      <c r="O660" t="s">
        <v>7</v>
      </c>
      <c r="P660" t="s">
        <v>8</v>
      </c>
    </row>
    <row r="661" spans="1:16" ht="13.95" customHeight="1" x14ac:dyDescent="0.25">
      <c r="A661" s="2" t="s">
        <v>0</v>
      </c>
      <c r="B661" t="s">
        <v>1</v>
      </c>
      <c r="C661" s="3">
        <v>46276</v>
      </c>
      <c r="D661" t="s">
        <v>2</v>
      </c>
      <c r="E661" t="s">
        <v>0</v>
      </c>
      <c r="F661" s="5">
        <v>122736</v>
      </c>
      <c r="G661" s="5" t="str">
        <f>VLOOKUP(F661,'[1]46974159BCSET2026'!$F:$AE,26,0)</f>
        <v>Sim</v>
      </c>
      <c r="H661" t="s">
        <v>3</v>
      </c>
      <c r="I661" s="3">
        <v>46276</v>
      </c>
      <c r="J661" t="s">
        <v>4</v>
      </c>
      <c r="K661" t="s">
        <v>958</v>
      </c>
      <c r="L661" t="s">
        <v>959</v>
      </c>
      <c r="M661" s="8">
        <v>-150.91</v>
      </c>
      <c r="N661" t="s">
        <v>0</v>
      </c>
      <c r="O661" t="s">
        <v>7</v>
      </c>
      <c r="P661" t="s">
        <v>8</v>
      </c>
    </row>
    <row r="662" spans="1:16" ht="13.95" customHeight="1" x14ac:dyDescent="0.25">
      <c r="A662" s="2" t="s">
        <v>0</v>
      </c>
      <c r="B662" t="s">
        <v>1</v>
      </c>
      <c r="C662" s="3">
        <v>46276</v>
      </c>
      <c r="D662" t="s">
        <v>2</v>
      </c>
      <c r="E662" t="s">
        <v>0</v>
      </c>
      <c r="F662" s="5">
        <v>122239</v>
      </c>
      <c r="G662" s="5" t="str">
        <f>VLOOKUP(F662,'[1]46974159BCSET2026'!$F:$AE,26,0)</f>
        <v>Sim</v>
      </c>
      <c r="H662" t="s">
        <v>3</v>
      </c>
      <c r="I662" s="3">
        <v>46276</v>
      </c>
      <c r="J662" t="s">
        <v>4</v>
      </c>
      <c r="K662" t="s">
        <v>960</v>
      </c>
      <c r="L662" t="s">
        <v>961</v>
      </c>
      <c r="M662" s="8">
        <v>-150.30000000000001</v>
      </c>
      <c r="N662" t="s">
        <v>0</v>
      </c>
      <c r="O662" t="s">
        <v>7</v>
      </c>
      <c r="P662" t="s">
        <v>8</v>
      </c>
    </row>
    <row r="663" spans="1:16" ht="13.95" customHeight="1" x14ac:dyDescent="0.25">
      <c r="A663" s="2" t="s">
        <v>0</v>
      </c>
      <c r="B663" t="s">
        <v>1</v>
      </c>
      <c r="C663" s="3">
        <v>46276</v>
      </c>
      <c r="D663" t="s">
        <v>2</v>
      </c>
      <c r="E663" t="s">
        <v>0</v>
      </c>
      <c r="F663" s="5">
        <v>122266</v>
      </c>
      <c r="G663" s="5" t="str">
        <f>VLOOKUP(F663,'[1]46974159BCSET2026'!$F:$AE,26,0)</f>
        <v>Sim</v>
      </c>
      <c r="H663" t="s">
        <v>3</v>
      </c>
      <c r="I663" s="3">
        <v>46276</v>
      </c>
      <c r="J663" t="s">
        <v>4</v>
      </c>
      <c r="K663" t="s">
        <v>614</v>
      </c>
      <c r="L663" t="s">
        <v>615</v>
      </c>
      <c r="M663" s="8">
        <v>-150.12</v>
      </c>
      <c r="N663" t="s">
        <v>0</v>
      </c>
      <c r="O663" t="s">
        <v>7</v>
      </c>
      <c r="P663" t="s">
        <v>8</v>
      </c>
    </row>
    <row r="664" spans="1:16" ht="13.95" customHeight="1" x14ac:dyDescent="0.25">
      <c r="A664" s="2" t="s">
        <v>0</v>
      </c>
      <c r="B664" t="s">
        <v>1</v>
      </c>
      <c r="C664" s="3">
        <v>46276</v>
      </c>
      <c r="D664" t="s">
        <v>2</v>
      </c>
      <c r="E664" t="s">
        <v>0</v>
      </c>
      <c r="F664" s="5">
        <v>122318</v>
      </c>
      <c r="G664" s="5" t="str">
        <f>VLOOKUP(F664,'[1]46974159BCSET2026'!$F:$AE,26,0)</f>
        <v>Sim</v>
      </c>
      <c r="H664" t="s">
        <v>3</v>
      </c>
      <c r="I664" s="3">
        <v>46276</v>
      </c>
      <c r="J664" t="s">
        <v>4</v>
      </c>
      <c r="K664" t="s">
        <v>962</v>
      </c>
      <c r="L664" t="s">
        <v>963</v>
      </c>
      <c r="M664" s="8">
        <v>-149.28</v>
      </c>
      <c r="N664" t="s">
        <v>0</v>
      </c>
      <c r="O664" t="s">
        <v>7</v>
      </c>
      <c r="P664" t="s">
        <v>8</v>
      </c>
    </row>
    <row r="665" spans="1:16" ht="13.95" customHeight="1" x14ac:dyDescent="0.25">
      <c r="A665" s="2" t="s">
        <v>0</v>
      </c>
      <c r="B665" t="s">
        <v>1</v>
      </c>
      <c r="C665" s="3">
        <v>46276</v>
      </c>
      <c r="D665" t="s">
        <v>2</v>
      </c>
      <c r="E665" t="s">
        <v>0</v>
      </c>
      <c r="F665" s="5">
        <v>122723</v>
      </c>
      <c r="G665" s="5" t="str">
        <f>VLOOKUP(F665,'[1]46974159BCSET2026'!$F:$AE,26,0)</f>
        <v>Sim</v>
      </c>
      <c r="H665" t="s">
        <v>3</v>
      </c>
      <c r="I665" s="3">
        <v>46276</v>
      </c>
      <c r="J665" t="s">
        <v>4</v>
      </c>
      <c r="K665" t="s">
        <v>964</v>
      </c>
      <c r="L665" t="s">
        <v>965</v>
      </c>
      <c r="M665" s="8">
        <v>-148.99</v>
      </c>
      <c r="N665" t="s">
        <v>0</v>
      </c>
      <c r="O665" t="s">
        <v>7</v>
      </c>
      <c r="P665" t="s">
        <v>8</v>
      </c>
    </row>
    <row r="666" spans="1:16" ht="13.95" customHeight="1" x14ac:dyDescent="0.25">
      <c r="A666" s="2" t="s">
        <v>0</v>
      </c>
      <c r="B666" t="s">
        <v>1</v>
      </c>
      <c r="C666" s="3">
        <v>46276</v>
      </c>
      <c r="D666" t="s">
        <v>2</v>
      </c>
      <c r="E666" t="s">
        <v>0</v>
      </c>
      <c r="F666" s="5">
        <v>122569</v>
      </c>
      <c r="G666" s="5" t="str">
        <f>VLOOKUP(F666,'[1]46974159BCSET2026'!$F:$AE,26,0)</f>
        <v>Sim</v>
      </c>
      <c r="H666" t="s">
        <v>3</v>
      </c>
      <c r="I666" s="3">
        <v>46276</v>
      </c>
      <c r="J666" t="s">
        <v>4</v>
      </c>
      <c r="K666" t="s">
        <v>966</v>
      </c>
      <c r="L666" t="s">
        <v>967</v>
      </c>
      <c r="M666" s="8">
        <v>-147.71</v>
      </c>
      <c r="N666" t="s">
        <v>0</v>
      </c>
      <c r="O666" t="s">
        <v>7</v>
      </c>
      <c r="P666" t="s">
        <v>8</v>
      </c>
    </row>
    <row r="667" spans="1:16" ht="13.95" customHeight="1" x14ac:dyDescent="0.25">
      <c r="A667" s="2" t="s">
        <v>0</v>
      </c>
      <c r="B667" t="s">
        <v>1</v>
      </c>
      <c r="C667" s="3">
        <v>46276</v>
      </c>
      <c r="D667" t="s">
        <v>2</v>
      </c>
      <c r="E667" t="s">
        <v>0</v>
      </c>
      <c r="F667" s="5">
        <v>122557</v>
      </c>
      <c r="G667" s="5" t="str">
        <f>VLOOKUP(F667,'[1]46974159BCSET2026'!$F:$AE,26,0)</f>
        <v>Sim</v>
      </c>
      <c r="H667" t="s">
        <v>3</v>
      </c>
      <c r="I667" s="3">
        <v>46276</v>
      </c>
      <c r="J667" t="s">
        <v>4</v>
      </c>
      <c r="K667" t="s">
        <v>968</v>
      </c>
      <c r="L667" t="s">
        <v>969</v>
      </c>
      <c r="M667" s="8">
        <v>-146.02000000000001</v>
      </c>
      <c r="N667" t="s">
        <v>0</v>
      </c>
      <c r="O667" t="s">
        <v>7</v>
      </c>
      <c r="P667" t="s">
        <v>8</v>
      </c>
    </row>
    <row r="668" spans="1:16" ht="13.95" customHeight="1" x14ac:dyDescent="0.25">
      <c r="A668" s="2" t="s">
        <v>0</v>
      </c>
      <c r="B668" t="s">
        <v>1</v>
      </c>
      <c r="C668" s="3">
        <v>46276</v>
      </c>
      <c r="D668" t="s">
        <v>2</v>
      </c>
      <c r="E668" t="s">
        <v>0</v>
      </c>
      <c r="F668" s="5">
        <v>122334</v>
      </c>
      <c r="G668" s="5" t="str">
        <f>VLOOKUP(F668,'[1]46974159BCSET2026'!$F:$AE,26,0)</f>
        <v>Sim</v>
      </c>
      <c r="H668" t="s">
        <v>3</v>
      </c>
      <c r="I668" s="3">
        <v>46276</v>
      </c>
      <c r="J668" t="s">
        <v>4</v>
      </c>
      <c r="K668" t="s">
        <v>970</v>
      </c>
      <c r="L668" t="s">
        <v>971</v>
      </c>
      <c r="M668" s="8">
        <v>-145.57</v>
      </c>
      <c r="N668" t="s">
        <v>0</v>
      </c>
      <c r="O668" t="s">
        <v>7</v>
      </c>
      <c r="P668" t="s">
        <v>8</v>
      </c>
    </row>
    <row r="669" spans="1:16" ht="13.95" customHeight="1" x14ac:dyDescent="0.25">
      <c r="A669" s="2" t="s">
        <v>0</v>
      </c>
      <c r="B669" t="s">
        <v>1</v>
      </c>
      <c r="C669" s="3">
        <v>46276</v>
      </c>
      <c r="D669" t="s">
        <v>2</v>
      </c>
      <c r="E669" t="s">
        <v>0</v>
      </c>
      <c r="F669" s="5">
        <v>122507</v>
      </c>
      <c r="G669" s="5" t="str">
        <f>VLOOKUP(F669,'[1]46974159BCSET2026'!$F:$AE,26,0)</f>
        <v>Sim</v>
      </c>
      <c r="H669" t="s">
        <v>3</v>
      </c>
      <c r="I669" s="3">
        <v>46276</v>
      </c>
      <c r="J669" t="s">
        <v>4</v>
      </c>
      <c r="K669" t="s">
        <v>972</v>
      </c>
      <c r="L669" t="s">
        <v>973</v>
      </c>
      <c r="M669" s="8">
        <v>-145.44999999999999</v>
      </c>
      <c r="N669" t="s">
        <v>0</v>
      </c>
      <c r="O669" t="s">
        <v>7</v>
      </c>
      <c r="P669" t="s">
        <v>8</v>
      </c>
    </row>
    <row r="670" spans="1:16" ht="13.95" customHeight="1" x14ac:dyDescent="0.25">
      <c r="A670" s="2" t="s">
        <v>0</v>
      </c>
      <c r="B670" t="s">
        <v>1</v>
      </c>
      <c r="C670" s="3">
        <v>46276</v>
      </c>
      <c r="D670" t="s">
        <v>2</v>
      </c>
      <c r="E670" t="s">
        <v>0</v>
      </c>
      <c r="F670" s="5">
        <v>122342</v>
      </c>
      <c r="G670" s="5" t="str">
        <f>VLOOKUP(F670,'[1]46974159BCSET2026'!$F:$AE,26,0)</f>
        <v>Sim</v>
      </c>
      <c r="H670" t="s">
        <v>3</v>
      </c>
      <c r="I670" s="3">
        <v>46276</v>
      </c>
      <c r="J670" t="s">
        <v>4</v>
      </c>
      <c r="K670" t="s">
        <v>974</v>
      </c>
      <c r="L670" t="s">
        <v>975</v>
      </c>
      <c r="M670" s="8">
        <v>-143.07</v>
      </c>
      <c r="N670" t="s">
        <v>0</v>
      </c>
      <c r="O670" t="s">
        <v>7</v>
      </c>
      <c r="P670" t="s">
        <v>8</v>
      </c>
    </row>
    <row r="671" spans="1:16" ht="13.95" customHeight="1" x14ac:dyDescent="0.25">
      <c r="A671" s="2" t="s">
        <v>0</v>
      </c>
      <c r="B671" t="s">
        <v>1</v>
      </c>
      <c r="C671" s="3">
        <v>46276</v>
      </c>
      <c r="D671" t="s">
        <v>2</v>
      </c>
      <c r="E671" t="s">
        <v>0</v>
      </c>
      <c r="F671" s="5">
        <v>122225</v>
      </c>
      <c r="G671" s="5" t="str">
        <f>VLOOKUP(F671,'[1]46974159BCSET2026'!$F:$AE,26,0)</f>
        <v>Sim</v>
      </c>
      <c r="H671" t="s">
        <v>3</v>
      </c>
      <c r="I671" s="3">
        <v>46276</v>
      </c>
      <c r="J671" t="s">
        <v>4</v>
      </c>
      <c r="K671" t="s">
        <v>976</v>
      </c>
      <c r="L671" t="s">
        <v>977</v>
      </c>
      <c r="M671" s="8">
        <v>-142.86000000000001</v>
      </c>
      <c r="N671" t="s">
        <v>0</v>
      </c>
      <c r="O671" t="s">
        <v>7</v>
      </c>
      <c r="P671" t="s">
        <v>8</v>
      </c>
    </row>
    <row r="672" spans="1:16" ht="13.95" customHeight="1" x14ac:dyDescent="0.25">
      <c r="A672" s="2" t="s">
        <v>0</v>
      </c>
      <c r="B672" t="s">
        <v>1</v>
      </c>
      <c r="C672" s="3">
        <v>46276</v>
      </c>
      <c r="D672" t="s">
        <v>2</v>
      </c>
      <c r="E672" t="s">
        <v>0</v>
      </c>
      <c r="F672" s="5">
        <v>122720</v>
      </c>
      <c r="G672" s="5" t="str">
        <f>VLOOKUP(F672,'[1]46974159BCSET2026'!$F:$AE,26,0)</f>
        <v>Sim</v>
      </c>
      <c r="H672" t="s">
        <v>3</v>
      </c>
      <c r="I672" s="3">
        <v>46276</v>
      </c>
      <c r="J672" t="s">
        <v>4</v>
      </c>
      <c r="K672" t="s">
        <v>978</v>
      </c>
      <c r="L672" t="s">
        <v>979</v>
      </c>
      <c r="M672" s="8">
        <v>-141.41999999999999</v>
      </c>
      <c r="N672" t="s">
        <v>0</v>
      </c>
      <c r="O672" t="s">
        <v>7</v>
      </c>
      <c r="P672" t="s">
        <v>8</v>
      </c>
    </row>
    <row r="673" spans="1:16" ht="13.95" customHeight="1" x14ac:dyDescent="0.25">
      <c r="A673" s="2" t="s">
        <v>0</v>
      </c>
      <c r="B673" t="s">
        <v>1</v>
      </c>
      <c r="C673" s="3">
        <v>46276</v>
      </c>
      <c r="D673" t="s">
        <v>2</v>
      </c>
      <c r="E673" t="s">
        <v>0</v>
      </c>
      <c r="F673" s="5">
        <v>122240</v>
      </c>
      <c r="G673" s="5" t="str">
        <f>VLOOKUP(F673,'[1]46974159BCSET2026'!$F:$AE,26,0)</f>
        <v>Sim</v>
      </c>
      <c r="H673" t="s">
        <v>3</v>
      </c>
      <c r="I673" s="3">
        <v>46276</v>
      </c>
      <c r="J673" t="s">
        <v>4</v>
      </c>
      <c r="K673" t="s">
        <v>980</v>
      </c>
      <c r="L673" t="s">
        <v>981</v>
      </c>
      <c r="M673" s="8">
        <v>-140.82</v>
      </c>
      <c r="N673" t="s">
        <v>0</v>
      </c>
      <c r="O673" t="s">
        <v>7</v>
      </c>
      <c r="P673" t="s">
        <v>8</v>
      </c>
    </row>
    <row r="674" spans="1:16" ht="13.95" customHeight="1" x14ac:dyDescent="0.25">
      <c r="A674" s="2" t="s">
        <v>0</v>
      </c>
      <c r="B674" t="s">
        <v>1</v>
      </c>
      <c r="C674" s="3">
        <v>46276</v>
      </c>
      <c r="D674" t="s">
        <v>2</v>
      </c>
      <c r="E674" t="s">
        <v>0</v>
      </c>
      <c r="F674" s="5">
        <v>122672</v>
      </c>
      <c r="G674" s="5" t="str">
        <f>VLOOKUP(F674,'[1]46974159BCSET2026'!$F:$AE,26,0)</f>
        <v>Sim</v>
      </c>
      <c r="H674" t="s">
        <v>3</v>
      </c>
      <c r="I674" s="3">
        <v>46276</v>
      </c>
      <c r="J674" t="s">
        <v>4</v>
      </c>
      <c r="K674" t="s">
        <v>171</v>
      </c>
      <c r="L674" t="s">
        <v>172</v>
      </c>
      <c r="M674" s="8">
        <v>-140</v>
      </c>
      <c r="N674" t="s">
        <v>0</v>
      </c>
      <c r="O674" t="s">
        <v>7</v>
      </c>
      <c r="P674" t="s">
        <v>8</v>
      </c>
    </row>
    <row r="675" spans="1:16" ht="13.95" customHeight="1" x14ac:dyDescent="0.25">
      <c r="A675" s="2" t="s">
        <v>0</v>
      </c>
      <c r="B675" t="s">
        <v>1</v>
      </c>
      <c r="C675" s="3">
        <v>46276</v>
      </c>
      <c r="D675" t="s">
        <v>2</v>
      </c>
      <c r="E675" t="s">
        <v>0</v>
      </c>
      <c r="F675" s="5">
        <v>122343</v>
      </c>
      <c r="G675" s="5" t="str">
        <f>VLOOKUP(F675,'[1]46974159BCSET2026'!$F:$AE,26,0)</f>
        <v>Sim</v>
      </c>
      <c r="H675" t="s">
        <v>3</v>
      </c>
      <c r="I675" s="3">
        <v>46276</v>
      </c>
      <c r="J675" t="s">
        <v>4</v>
      </c>
      <c r="K675" t="s">
        <v>982</v>
      </c>
      <c r="L675" t="s">
        <v>983</v>
      </c>
      <c r="M675" s="8">
        <v>-138.78</v>
      </c>
      <c r="N675" t="s">
        <v>0</v>
      </c>
      <c r="O675" t="s">
        <v>7</v>
      </c>
      <c r="P675" t="s">
        <v>8</v>
      </c>
    </row>
    <row r="676" spans="1:16" ht="13.95" customHeight="1" x14ac:dyDescent="0.25">
      <c r="A676" s="2" t="s">
        <v>0</v>
      </c>
      <c r="B676" t="s">
        <v>1</v>
      </c>
      <c r="C676" s="3">
        <v>46276</v>
      </c>
      <c r="D676" t="s">
        <v>2</v>
      </c>
      <c r="E676" t="s">
        <v>0</v>
      </c>
      <c r="F676" s="5">
        <v>122344</v>
      </c>
      <c r="G676" s="5" t="str">
        <f>VLOOKUP(F676,'[1]46974159BCSET2026'!$F:$AE,26,0)</f>
        <v>Sim</v>
      </c>
      <c r="H676" t="s">
        <v>3</v>
      </c>
      <c r="I676" s="3">
        <v>46276</v>
      </c>
      <c r="J676" t="s">
        <v>4</v>
      </c>
      <c r="K676" t="s">
        <v>984</v>
      </c>
      <c r="L676" t="s">
        <v>985</v>
      </c>
      <c r="M676" s="8">
        <v>-138.78</v>
      </c>
      <c r="N676" t="s">
        <v>0</v>
      </c>
      <c r="O676" t="s">
        <v>7</v>
      </c>
      <c r="P676" t="s">
        <v>8</v>
      </c>
    </row>
    <row r="677" spans="1:16" ht="13.95" customHeight="1" x14ac:dyDescent="0.25">
      <c r="A677" s="2" t="s">
        <v>0</v>
      </c>
      <c r="B677" t="s">
        <v>1</v>
      </c>
      <c r="C677" s="3">
        <v>46276</v>
      </c>
      <c r="D677" t="s">
        <v>2</v>
      </c>
      <c r="E677" t="s">
        <v>0</v>
      </c>
      <c r="F677" s="5">
        <v>122644</v>
      </c>
      <c r="G677" s="5" t="str">
        <f>VLOOKUP(F677,'[1]46974159BCSET2026'!$F:$AE,26,0)</f>
        <v>Sim</v>
      </c>
      <c r="H677" t="s">
        <v>3</v>
      </c>
      <c r="I677" s="3">
        <v>46276</v>
      </c>
      <c r="J677" t="s">
        <v>4</v>
      </c>
      <c r="K677" t="s">
        <v>986</v>
      </c>
      <c r="L677" t="s">
        <v>987</v>
      </c>
      <c r="M677" s="8">
        <v>-136.63999999999999</v>
      </c>
      <c r="N677" t="s">
        <v>0</v>
      </c>
      <c r="O677" t="s">
        <v>7</v>
      </c>
      <c r="P677" t="s">
        <v>8</v>
      </c>
    </row>
    <row r="678" spans="1:16" ht="13.95" customHeight="1" x14ac:dyDescent="0.25">
      <c r="A678" s="2" t="s">
        <v>0</v>
      </c>
      <c r="B678" t="s">
        <v>1</v>
      </c>
      <c r="C678" s="3">
        <v>46276</v>
      </c>
      <c r="D678" t="s">
        <v>2</v>
      </c>
      <c r="E678" t="s">
        <v>0</v>
      </c>
      <c r="F678" s="5">
        <v>122507</v>
      </c>
      <c r="G678" s="5" t="str">
        <f>VLOOKUP(F678,'[1]46974159BCSET2026'!$F:$AE,26,0)</f>
        <v>Sim</v>
      </c>
      <c r="H678" t="s">
        <v>3</v>
      </c>
      <c r="I678" s="3">
        <v>46276</v>
      </c>
      <c r="J678" t="s">
        <v>4</v>
      </c>
      <c r="K678" t="s">
        <v>972</v>
      </c>
      <c r="L678" t="s">
        <v>973</v>
      </c>
      <c r="M678" s="8">
        <v>-134.38999999999999</v>
      </c>
      <c r="N678" t="s">
        <v>0</v>
      </c>
      <c r="O678" t="s">
        <v>7</v>
      </c>
      <c r="P678" t="s">
        <v>8</v>
      </c>
    </row>
    <row r="679" spans="1:16" ht="13.95" customHeight="1" x14ac:dyDescent="0.25">
      <c r="A679" s="2" t="s">
        <v>0</v>
      </c>
      <c r="B679" t="s">
        <v>1</v>
      </c>
      <c r="C679" s="3">
        <v>46276</v>
      </c>
      <c r="D679" t="s">
        <v>2</v>
      </c>
      <c r="E679" t="s">
        <v>0</v>
      </c>
      <c r="F679" s="5">
        <v>122663</v>
      </c>
      <c r="G679" s="5" t="str">
        <f>VLOOKUP(F679,'[1]46974159BCSET2026'!$F:$AE,26,0)</f>
        <v>Sim</v>
      </c>
      <c r="H679" t="s">
        <v>3</v>
      </c>
      <c r="I679" s="3">
        <v>46276</v>
      </c>
      <c r="J679" t="s">
        <v>4</v>
      </c>
      <c r="K679" t="s">
        <v>988</v>
      </c>
      <c r="L679" t="s">
        <v>989</v>
      </c>
      <c r="M679" s="8">
        <v>-134.35</v>
      </c>
      <c r="N679" t="s">
        <v>0</v>
      </c>
      <c r="O679" t="s">
        <v>7</v>
      </c>
      <c r="P679" t="s">
        <v>8</v>
      </c>
    </row>
    <row r="680" spans="1:16" ht="13.95" customHeight="1" x14ac:dyDescent="0.25">
      <c r="A680" s="2" t="s">
        <v>0</v>
      </c>
      <c r="B680" t="s">
        <v>1</v>
      </c>
      <c r="C680" s="3">
        <v>46276</v>
      </c>
      <c r="D680" t="s">
        <v>2</v>
      </c>
      <c r="E680" t="s">
        <v>0</v>
      </c>
      <c r="F680" s="5">
        <v>122531</v>
      </c>
      <c r="G680" s="5" t="str">
        <f>VLOOKUP(F680,'[1]46974159BCSET2026'!$F:$AE,26,0)</f>
        <v>Sim</v>
      </c>
      <c r="H680" t="s">
        <v>3</v>
      </c>
      <c r="I680" s="3">
        <v>46276</v>
      </c>
      <c r="J680" t="s">
        <v>4</v>
      </c>
      <c r="K680" t="s">
        <v>181</v>
      </c>
      <c r="L680" t="s">
        <v>182</v>
      </c>
      <c r="M680" s="8">
        <v>-133.74</v>
      </c>
      <c r="N680" t="s">
        <v>0</v>
      </c>
      <c r="O680" t="s">
        <v>7</v>
      </c>
      <c r="P680" t="s">
        <v>8</v>
      </c>
    </row>
    <row r="681" spans="1:16" ht="13.95" customHeight="1" x14ac:dyDescent="0.25">
      <c r="A681" s="2" t="s">
        <v>0</v>
      </c>
      <c r="B681" t="s">
        <v>1</v>
      </c>
      <c r="C681" s="3">
        <v>46276</v>
      </c>
      <c r="D681" t="s">
        <v>2</v>
      </c>
      <c r="E681" t="s">
        <v>0</v>
      </c>
      <c r="F681" s="5">
        <v>122553</v>
      </c>
      <c r="G681" s="5" t="str">
        <f>VLOOKUP(F681,'[1]46974159BCSET2026'!$F:$AE,26,0)</f>
        <v>Sim</v>
      </c>
      <c r="H681" t="s">
        <v>3</v>
      </c>
      <c r="I681" s="3">
        <v>46276</v>
      </c>
      <c r="J681" t="s">
        <v>4</v>
      </c>
      <c r="K681" t="s">
        <v>990</v>
      </c>
      <c r="L681" t="s">
        <v>991</v>
      </c>
      <c r="M681" s="8">
        <v>-133.31</v>
      </c>
      <c r="N681" t="s">
        <v>0</v>
      </c>
      <c r="O681" t="s">
        <v>7</v>
      </c>
      <c r="P681" t="s">
        <v>8</v>
      </c>
    </row>
    <row r="682" spans="1:16" ht="13.95" customHeight="1" x14ac:dyDescent="0.25">
      <c r="A682" s="2" t="s">
        <v>0</v>
      </c>
      <c r="B682" t="s">
        <v>1</v>
      </c>
      <c r="C682" s="3">
        <v>46276</v>
      </c>
      <c r="D682" t="s">
        <v>2</v>
      </c>
      <c r="E682" t="s">
        <v>0</v>
      </c>
      <c r="F682" s="5">
        <v>122722</v>
      </c>
      <c r="G682" s="5" t="str">
        <f>VLOOKUP(F682,'[1]46974159BCSET2026'!$F:$AE,26,0)</f>
        <v>Sim</v>
      </c>
      <c r="H682" t="s">
        <v>3</v>
      </c>
      <c r="I682" s="3">
        <v>46276</v>
      </c>
      <c r="J682" t="s">
        <v>4</v>
      </c>
      <c r="K682" t="s">
        <v>992</v>
      </c>
      <c r="L682" t="s">
        <v>993</v>
      </c>
      <c r="M682" s="8">
        <v>-133.31</v>
      </c>
      <c r="N682" t="s">
        <v>0</v>
      </c>
      <c r="O682" t="s">
        <v>7</v>
      </c>
      <c r="P682" t="s">
        <v>8</v>
      </c>
    </row>
    <row r="683" spans="1:16" ht="13.95" customHeight="1" x14ac:dyDescent="0.25">
      <c r="A683" s="2" t="s">
        <v>0</v>
      </c>
      <c r="B683" t="s">
        <v>1</v>
      </c>
      <c r="C683" s="3">
        <v>46276</v>
      </c>
      <c r="D683" t="s">
        <v>2</v>
      </c>
      <c r="E683" t="s">
        <v>0</v>
      </c>
      <c r="F683" s="5">
        <v>122503</v>
      </c>
      <c r="G683" s="5" t="str">
        <f>VLOOKUP(F683,'[1]46974159BCSET2026'!$F:$AE,26,0)</f>
        <v>Sim</v>
      </c>
      <c r="H683" t="s">
        <v>3</v>
      </c>
      <c r="I683" s="3">
        <v>46276</v>
      </c>
      <c r="J683" t="s">
        <v>4</v>
      </c>
      <c r="K683" t="s">
        <v>572</v>
      </c>
      <c r="L683" t="s">
        <v>573</v>
      </c>
      <c r="M683" s="8">
        <v>-132.27000000000001</v>
      </c>
      <c r="N683" t="s">
        <v>0</v>
      </c>
      <c r="O683" t="s">
        <v>7</v>
      </c>
      <c r="P683" t="s">
        <v>8</v>
      </c>
    </row>
    <row r="684" spans="1:16" ht="13.95" customHeight="1" x14ac:dyDescent="0.25">
      <c r="A684" s="2" t="s">
        <v>0</v>
      </c>
      <c r="B684" t="s">
        <v>1</v>
      </c>
      <c r="C684" s="3">
        <v>46276</v>
      </c>
      <c r="D684" t="s">
        <v>2</v>
      </c>
      <c r="E684" t="s">
        <v>0</v>
      </c>
      <c r="F684" s="5">
        <v>122232</v>
      </c>
      <c r="G684" s="5" t="str">
        <f>VLOOKUP(F684,'[1]46974159BCSET2026'!$F:$AE,26,0)</f>
        <v>Sim</v>
      </c>
      <c r="H684" t="s">
        <v>3</v>
      </c>
      <c r="I684" s="3">
        <v>46276</v>
      </c>
      <c r="J684" t="s">
        <v>4</v>
      </c>
      <c r="K684" t="s">
        <v>994</v>
      </c>
      <c r="L684" t="s">
        <v>995</v>
      </c>
      <c r="M684" s="8">
        <v>-132.08000000000001</v>
      </c>
      <c r="N684" t="s">
        <v>0</v>
      </c>
      <c r="O684" t="s">
        <v>7</v>
      </c>
      <c r="P684" t="s">
        <v>8</v>
      </c>
    </row>
    <row r="685" spans="1:16" ht="13.95" customHeight="1" x14ac:dyDescent="0.25">
      <c r="A685" s="2" t="s">
        <v>0</v>
      </c>
      <c r="B685" t="s">
        <v>1</v>
      </c>
      <c r="C685" s="3">
        <v>46276</v>
      </c>
      <c r="D685" t="s">
        <v>2</v>
      </c>
      <c r="E685" t="s">
        <v>0</v>
      </c>
      <c r="F685" s="5">
        <v>122528</v>
      </c>
      <c r="G685" s="5" t="str">
        <f>VLOOKUP(F685,'[1]46974159BCSET2026'!$F:$AE,26,0)</f>
        <v>Sim</v>
      </c>
      <c r="H685" t="s">
        <v>3</v>
      </c>
      <c r="I685" s="3">
        <v>46276</v>
      </c>
      <c r="J685" t="s">
        <v>4</v>
      </c>
      <c r="K685" t="s">
        <v>996</v>
      </c>
      <c r="L685" t="s">
        <v>997</v>
      </c>
      <c r="M685" s="8">
        <v>-130.37</v>
      </c>
      <c r="N685" t="s">
        <v>0</v>
      </c>
      <c r="O685" t="s">
        <v>7</v>
      </c>
      <c r="P685" t="s">
        <v>8</v>
      </c>
    </row>
    <row r="686" spans="1:16" ht="13.95" customHeight="1" x14ac:dyDescent="0.25">
      <c r="A686" s="2" t="s">
        <v>0</v>
      </c>
      <c r="B686" t="s">
        <v>1</v>
      </c>
      <c r="C686" s="3">
        <v>46276</v>
      </c>
      <c r="D686" t="s">
        <v>2</v>
      </c>
      <c r="E686" t="s">
        <v>0</v>
      </c>
      <c r="F686" s="5">
        <v>122733</v>
      </c>
      <c r="G686" s="5" t="str">
        <f>VLOOKUP(F686,'[1]46974159BCSET2026'!$F:$AE,26,0)</f>
        <v>Sim</v>
      </c>
      <c r="H686" t="s">
        <v>3</v>
      </c>
      <c r="I686" s="3">
        <v>46276</v>
      </c>
      <c r="J686" t="s">
        <v>4</v>
      </c>
      <c r="K686" t="s">
        <v>998</v>
      </c>
      <c r="L686" t="s">
        <v>999</v>
      </c>
      <c r="M686" s="8">
        <v>-129.9</v>
      </c>
      <c r="N686" t="s">
        <v>0</v>
      </c>
      <c r="O686" t="s">
        <v>7</v>
      </c>
      <c r="P686" t="s">
        <v>8</v>
      </c>
    </row>
    <row r="687" spans="1:16" ht="13.95" customHeight="1" x14ac:dyDescent="0.25">
      <c r="A687" s="2" t="s">
        <v>0</v>
      </c>
      <c r="B687" t="s">
        <v>1</v>
      </c>
      <c r="C687" s="3">
        <v>46276</v>
      </c>
      <c r="D687" t="s">
        <v>2</v>
      </c>
      <c r="E687" t="s">
        <v>0</v>
      </c>
      <c r="F687" s="5">
        <v>122735</v>
      </c>
      <c r="G687" s="5" t="str">
        <f>VLOOKUP(F687,'[1]46974159BCSET2026'!$F:$AE,26,0)</f>
        <v>Sim</v>
      </c>
      <c r="H687" t="s">
        <v>3</v>
      </c>
      <c r="I687" s="3">
        <v>46276</v>
      </c>
      <c r="J687" t="s">
        <v>4</v>
      </c>
      <c r="K687" t="s">
        <v>1000</v>
      </c>
      <c r="L687" t="s">
        <v>1001</v>
      </c>
      <c r="M687" s="8">
        <v>-129.04</v>
      </c>
      <c r="N687" t="s">
        <v>0</v>
      </c>
      <c r="O687" t="s">
        <v>7</v>
      </c>
      <c r="P687" t="s">
        <v>8</v>
      </c>
    </row>
    <row r="688" spans="1:16" ht="13.95" customHeight="1" x14ac:dyDescent="0.25">
      <c r="A688" s="2" t="s">
        <v>0</v>
      </c>
      <c r="B688" t="s">
        <v>1</v>
      </c>
      <c r="C688" s="3">
        <v>46276</v>
      </c>
      <c r="D688" t="s">
        <v>2</v>
      </c>
      <c r="E688" t="s">
        <v>0</v>
      </c>
      <c r="F688" s="5">
        <v>122471</v>
      </c>
      <c r="G688" s="5" t="str">
        <f>VLOOKUP(F688,'[1]46974159BCSET2026'!$F:$AE,26,0)</f>
        <v>Sim</v>
      </c>
      <c r="H688" t="s">
        <v>3</v>
      </c>
      <c r="I688" s="3">
        <v>46276</v>
      </c>
      <c r="J688" t="s">
        <v>4</v>
      </c>
      <c r="K688" t="s">
        <v>1002</v>
      </c>
      <c r="L688" t="s">
        <v>1003</v>
      </c>
      <c r="M688" s="8">
        <v>-127.4</v>
      </c>
      <c r="N688" t="s">
        <v>0</v>
      </c>
      <c r="O688" t="s">
        <v>7</v>
      </c>
      <c r="P688" t="s">
        <v>8</v>
      </c>
    </row>
    <row r="689" spans="1:16" ht="13.95" customHeight="1" x14ac:dyDescent="0.25">
      <c r="A689" s="2" t="s">
        <v>0</v>
      </c>
      <c r="B689" t="s">
        <v>1</v>
      </c>
      <c r="C689" s="3">
        <v>46276</v>
      </c>
      <c r="D689" t="s">
        <v>2</v>
      </c>
      <c r="E689" t="s">
        <v>0</v>
      </c>
      <c r="F689" s="5">
        <v>122717</v>
      </c>
      <c r="G689" s="5" t="str">
        <f>VLOOKUP(F689,'[1]46974159BCSET2026'!$F:$AE,26,0)</f>
        <v>Sim</v>
      </c>
      <c r="H689" t="s">
        <v>3</v>
      </c>
      <c r="I689" s="3">
        <v>46276</v>
      </c>
      <c r="J689" t="s">
        <v>4</v>
      </c>
      <c r="K689" t="s">
        <v>1004</v>
      </c>
      <c r="L689" t="s">
        <v>1005</v>
      </c>
      <c r="M689" s="8">
        <v>-123.35</v>
      </c>
      <c r="N689" t="s">
        <v>0</v>
      </c>
      <c r="O689" t="s">
        <v>7</v>
      </c>
      <c r="P689" t="s">
        <v>8</v>
      </c>
    </row>
    <row r="690" spans="1:16" ht="13.95" customHeight="1" x14ac:dyDescent="0.25">
      <c r="A690" s="2" t="s">
        <v>0</v>
      </c>
      <c r="B690" t="s">
        <v>1</v>
      </c>
      <c r="C690" s="3">
        <v>46276</v>
      </c>
      <c r="D690" t="s">
        <v>2</v>
      </c>
      <c r="E690" t="s">
        <v>0</v>
      </c>
      <c r="F690" s="5">
        <v>122212</v>
      </c>
      <c r="G690" s="5" t="str">
        <f>VLOOKUP(F690,'[1]46974159BCSET2026'!$F:$AE,26,0)</f>
        <v>Sim</v>
      </c>
      <c r="H690" t="s">
        <v>3</v>
      </c>
      <c r="I690" s="3">
        <v>46276</v>
      </c>
      <c r="J690" t="s">
        <v>4</v>
      </c>
      <c r="K690" t="s">
        <v>145</v>
      </c>
      <c r="L690" t="s">
        <v>146</v>
      </c>
      <c r="M690" s="8">
        <v>-121.84</v>
      </c>
      <c r="N690" t="s">
        <v>0</v>
      </c>
      <c r="O690" t="s">
        <v>7</v>
      </c>
      <c r="P690" t="s">
        <v>8</v>
      </c>
    </row>
    <row r="691" spans="1:16" ht="13.95" customHeight="1" x14ac:dyDescent="0.25">
      <c r="A691" s="2" t="s">
        <v>0</v>
      </c>
      <c r="B691" t="s">
        <v>1</v>
      </c>
      <c r="C691" s="3">
        <v>46276</v>
      </c>
      <c r="D691" t="s">
        <v>2</v>
      </c>
      <c r="E691" t="s">
        <v>0</v>
      </c>
      <c r="F691" s="5">
        <v>122549</v>
      </c>
      <c r="G691" s="5" t="str">
        <f>VLOOKUP(F691,'[1]46974159BCSET2026'!$F:$AE,26,0)</f>
        <v>Sim</v>
      </c>
      <c r="H691" t="s">
        <v>3</v>
      </c>
      <c r="I691" s="3">
        <v>46276</v>
      </c>
      <c r="J691" t="s">
        <v>4</v>
      </c>
      <c r="K691" t="s">
        <v>1006</v>
      </c>
      <c r="L691" t="s">
        <v>1007</v>
      </c>
      <c r="M691" s="8">
        <v>-117.59</v>
      </c>
      <c r="N691" t="s">
        <v>0</v>
      </c>
      <c r="O691" t="s">
        <v>7</v>
      </c>
      <c r="P691" t="s">
        <v>8</v>
      </c>
    </row>
    <row r="692" spans="1:16" ht="13.95" customHeight="1" x14ac:dyDescent="0.25">
      <c r="A692" s="2" t="s">
        <v>0</v>
      </c>
      <c r="B692" t="s">
        <v>1</v>
      </c>
      <c r="C692" s="3">
        <v>46276</v>
      </c>
      <c r="D692" t="s">
        <v>2</v>
      </c>
      <c r="E692" t="s">
        <v>0</v>
      </c>
      <c r="F692" s="5">
        <v>122265</v>
      </c>
      <c r="G692" s="5" t="str">
        <f>VLOOKUP(F692,'[1]46974159BCSET2026'!$F:$AE,26,0)</f>
        <v>Sim</v>
      </c>
      <c r="H692" t="s">
        <v>3</v>
      </c>
      <c r="I692" s="3">
        <v>46276</v>
      </c>
      <c r="J692" t="s">
        <v>4</v>
      </c>
      <c r="K692" t="s">
        <v>123</v>
      </c>
      <c r="L692" t="s">
        <v>124</v>
      </c>
      <c r="M692" s="8">
        <v>-113.99</v>
      </c>
      <c r="N692" t="s">
        <v>0</v>
      </c>
      <c r="O692" t="s">
        <v>7</v>
      </c>
      <c r="P692" t="s">
        <v>8</v>
      </c>
    </row>
    <row r="693" spans="1:16" ht="13.95" customHeight="1" x14ac:dyDescent="0.25">
      <c r="A693" s="2" t="s">
        <v>0</v>
      </c>
      <c r="B693" t="s">
        <v>1</v>
      </c>
      <c r="C693" s="3">
        <v>46276</v>
      </c>
      <c r="D693" t="s">
        <v>2</v>
      </c>
      <c r="E693" t="s">
        <v>0</v>
      </c>
      <c r="F693" s="5">
        <v>122216</v>
      </c>
      <c r="G693" s="5" t="str">
        <f>VLOOKUP(F693,'[1]46974159BCSET2026'!$F:$AE,26,0)</f>
        <v>Sim</v>
      </c>
      <c r="H693" t="s">
        <v>3</v>
      </c>
      <c r="I693" s="3">
        <v>46276</v>
      </c>
      <c r="J693" t="s">
        <v>4</v>
      </c>
      <c r="K693" t="s">
        <v>760</v>
      </c>
      <c r="L693" t="s">
        <v>761</v>
      </c>
      <c r="M693" s="8">
        <v>-110.11</v>
      </c>
      <c r="N693" t="s">
        <v>0</v>
      </c>
      <c r="O693" t="s">
        <v>7</v>
      </c>
      <c r="P693" t="s">
        <v>8</v>
      </c>
    </row>
    <row r="694" spans="1:16" ht="13.95" customHeight="1" x14ac:dyDescent="0.25">
      <c r="A694" s="2" t="s">
        <v>0</v>
      </c>
      <c r="B694" t="s">
        <v>1</v>
      </c>
      <c r="C694" s="3">
        <v>46276</v>
      </c>
      <c r="D694" t="s">
        <v>2</v>
      </c>
      <c r="E694" t="s">
        <v>0</v>
      </c>
      <c r="F694" s="5">
        <v>122263</v>
      </c>
      <c r="G694" s="5" t="str">
        <f>VLOOKUP(F694,'[1]46974159BCSET2026'!$F:$AE,26,0)</f>
        <v>Sim</v>
      </c>
      <c r="H694" t="s">
        <v>3</v>
      </c>
      <c r="I694" s="3">
        <v>46276</v>
      </c>
      <c r="J694" t="s">
        <v>4</v>
      </c>
      <c r="K694" t="s">
        <v>201</v>
      </c>
      <c r="L694" t="s">
        <v>202</v>
      </c>
      <c r="M694" s="8">
        <v>-108.73</v>
      </c>
      <c r="N694" t="s">
        <v>0</v>
      </c>
      <c r="O694" t="s">
        <v>7</v>
      </c>
      <c r="P694" t="s">
        <v>8</v>
      </c>
    </row>
    <row r="695" spans="1:16" ht="13.95" customHeight="1" x14ac:dyDescent="0.25">
      <c r="A695" s="2" t="s">
        <v>0</v>
      </c>
      <c r="B695" t="s">
        <v>1</v>
      </c>
      <c r="C695" s="3">
        <v>46276</v>
      </c>
      <c r="D695" t="s">
        <v>2</v>
      </c>
      <c r="E695" t="s">
        <v>0</v>
      </c>
      <c r="F695" s="5">
        <v>122519</v>
      </c>
      <c r="G695" s="5" t="str">
        <f>VLOOKUP(F695,'[1]46974159BCSET2026'!$F:$AE,26,0)</f>
        <v>Sim</v>
      </c>
      <c r="H695" t="s">
        <v>3</v>
      </c>
      <c r="I695" s="3">
        <v>46276</v>
      </c>
      <c r="J695" t="s">
        <v>4</v>
      </c>
      <c r="K695" t="s">
        <v>900</v>
      </c>
      <c r="L695" t="s">
        <v>901</v>
      </c>
      <c r="M695" s="8">
        <v>-107.18</v>
      </c>
      <c r="N695" t="s">
        <v>0</v>
      </c>
      <c r="O695" t="s">
        <v>7</v>
      </c>
      <c r="P695" t="s">
        <v>8</v>
      </c>
    </row>
    <row r="696" spans="1:16" ht="13.95" customHeight="1" x14ac:dyDescent="0.25">
      <c r="A696" s="2" t="s">
        <v>0</v>
      </c>
      <c r="B696" t="s">
        <v>1</v>
      </c>
      <c r="C696" s="3">
        <v>46276</v>
      </c>
      <c r="D696" t="s">
        <v>2</v>
      </c>
      <c r="E696" t="s">
        <v>0</v>
      </c>
      <c r="F696" s="5">
        <v>122667</v>
      </c>
      <c r="G696" s="5" t="str">
        <f>VLOOKUP(F696,'[1]46974159BCSET2026'!$F:$AE,26,0)</f>
        <v>Sim</v>
      </c>
      <c r="H696" t="s">
        <v>3</v>
      </c>
      <c r="I696" s="3">
        <v>46276</v>
      </c>
      <c r="J696" t="s">
        <v>4</v>
      </c>
      <c r="K696" t="s">
        <v>303</v>
      </c>
      <c r="L696" t="s">
        <v>304</v>
      </c>
      <c r="M696" s="8">
        <v>-105.74</v>
      </c>
      <c r="N696" t="s">
        <v>0</v>
      </c>
      <c r="O696" t="s">
        <v>7</v>
      </c>
      <c r="P696" t="s">
        <v>8</v>
      </c>
    </row>
    <row r="697" spans="1:16" ht="13.95" customHeight="1" x14ac:dyDescent="0.25">
      <c r="A697" s="2" t="s">
        <v>0</v>
      </c>
      <c r="B697" t="s">
        <v>1</v>
      </c>
      <c r="C697" s="3">
        <v>46276</v>
      </c>
      <c r="D697" t="s">
        <v>2</v>
      </c>
      <c r="E697" t="s">
        <v>0</v>
      </c>
      <c r="F697" s="5">
        <v>122650</v>
      </c>
      <c r="G697" s="5" t="str">
        <f>VLOOKUP(F697,'[1]46974159BCSET2026'!$F:$AE,26,0)</f>
        <v>Sim</v>
      </c>
      <c r="H697" t="s">
        <v>3</v>
      </c>
      <c r="I697" s="3">
        <v>46276</v>
      </c>
      <c r="J697" t="s">
        <v>4</v>
      </c>
      <c r="K697" t="s">
        <v>153</v>
      </c>
      <c r="L697" t="s">
        <v>154</v>
      </c>
      <c r="M697" s="8">
        <v>-103.31</v>
      </c>
      <c r="N697" t="s">
        <v>0</v>
      </c>
      <c r="O697" t="s">
        <v>7</v>
      </c>
      <c r="P697" t="s">
        <v>8</v>
      </c>
    </row>
    <row r="698" spans="1:16" ht="13.95" customHeight="1" x14ac:dyDescent="0.25">
      <c r="A698" s="2" t="s">
        <v>0</v>
      </c>
      <c r="B698" t="s">
        <v>1</v>
      </c>
      <c r="C698" s="3">
        <v>46276</v>
      </c>
      <c r="D698" t="s">
        <v>2</v>
      </c>
      <c r="E698" t="s">
        <v>0</v>
      </c>
      <c r="F698" s="5">
        <v>122377</v>
      </c>
      <c r="G698" s="5" t="str">
        <f>VLOOKUP(F698,'[1]46974159BCSET2026'!$F:$AE,26,0)</f>
        <v>Sim</v>
      </c>
      <c r="H698" t="s">
        <v>3</v>
      </c>
      <c r="I698" s="3">
        <v>46276</v>
      </c>
      <c r="J698" t="s">
        <v>4</v>
      </c>
      <c r="K698" t="s">
        <v>1008</v>
      </c>
      <c r="L698" t="s">
        <v>1009</v>
      </c>
      <c r="M698" s="8">
        <v>-103.19</v>
      </c>
      <c r="N698" t="s">
        <v>0</v>
      </c>
      <c r="O698" t="s">
        <v>7</v>
      </c>
      <c r="P698" t="s">
        <v>8</v>
      </c>
    </row>
    <row r="699" spans="1:16" ht="13.95" customHeight="1" x14ac:dyDescent="0.25">
      <c r="A699" s="2" t="s">
        <v>0</v>
      </c>
      <c r="B699" t="s">
        <v>1</v>
      </c>
      <c r="C699" s="3">
        <v>46276</v>
      </c>
      <c r="D699" t="s">
        <v>2</v>
      </c>
      <c r="E699" t="s">
        <v>0</v>
      </c>
      <c r="F699" s="5">
        <v>122765</v>
      </c>
      <c r="G699" s="5" t="str">
        <f>VLOOKUP(F699,'[1]46974159BCSET2026'!$F:$AE,26,0)</f>
        <v>Sim</v>
      </c>
      <c r="H699" t="s">
        <v>3</v>
      </c>
      <c r="I699" s="3">
        <v>46276</v>
      </c>
      <c r="J699" t="s">
        <v>4</v>
      </c>
      <c r="K699" t="s">
        <v>1010</v>
      </c>
      <c r="L699" t="s">
        <v>1011</v>
      </c>
      <c r="M699" s="8">
        <v>-102.5</v>
      </c>
      <c r="N699" t="s">
        <v>0</v>
      </c>
      <c r="O699" t="s">
        <v>7</v>
      </c>
      <c r="P699" t="s">
        <v>8</v>
      </c>
    </row>
    <row r="700" spans="1:16" ht="13.95" customHeight="1" x14ac:dyDescent="0.25">
      <c r="A700" s="2" t="s">
        <v>0</v>
      </c>
      <c r="B700" t="s">
        <v>1</v>
      </c>
      <c r="C700" s="3">
        <v>46276</v>
      </c>
      <c r="D700" t="s">
        <v>2</v>
      </c>
      <c r="E700" t="s">
        <v>0</v>
      </c>
      <c r="F700" s="5">
        <v>122373</v>
      </c>
      <c r="G700" s="5" t="str">
        <f>VLOOKUP(F700,'[1]46974159BCSET2026'!$F:$AE,26,0)</f>
        <v>Sim</v>
      </c>
      <c r="H700" t="s">
        <v>3</v>
      </c>
      <c r="I700" s="3">
        <v>46276</v>
      </c>
      <c r="J700" t="s">
        <v>4</v>
      </c>
      <c r="K700" t="s">
        <v>1012</v>
      </c>
      <c r="L700" t="s">
        <v>1013</v>
      </c>
      <c r="M700" s="8">
        <v>-102.5</v>
      </c>
      <c r="N700" t="s">
        <v>0</v>
      </c>
      <c r="O700" t="s">
        <v>7</v>
      </c>
      <c r="P700" t="s">
        <v>8</v>
      </c>
    </row>
    <row r="701" spans="1:16" ht="13.95" customHeight="1" x14ac:dyDescent="0.25">
      <c r="A701" s="2" t="s">
        <v>0</v>
      </c>
      <c r="B701" t="s">
        <v>1</v>
      </c>
      <c r="C701" s="3">
        <v>46276</v>
      </c>
      <c r="D701" t="s">
        <v>2</v>
      </c>
      <c r="E701" t="s">
        <v>0</v>
      </c>
      <c r="F701" s="5">
        <v>122542</v>
      </c>
      <c r="G701" s="5" t="str">
        <f>VLOOKUP(F701,'[1]46974159BCSET2026'!$F:$AE,26,0)</f>
        <v>Sim</v>
      </c>
      <c r="H701" t="s">
        <v>3</v>
      </c>
      <c r="I701" s="3">
        <v>46276</v>
      </c>
      <c r="J701" t="s">
        <v>4</v>
      </c>
      <c r="K701" t="s">
        <v>788</v>
      </c>
      <c r="L701" t="s">
        <v>789</v>
      </c>
      <c r="M701" s="8">
        <v>-98.17</v>
      </c>
      <c r="N701" t="s">
        <v>0</v>
      </c>
      <c r="O701" t="s">
        <v>7</v>
      </c>
      <c r="P701" t="s">
        <v>8</v>
      </c>
    </row>
    <row r="702" spans="1:16" ht="13.95" customHeight="1" x14ac:dyDescent="0.25">
      <c r="A702" s="2" t="s">
        <v>0</v>
      </c>
      <c r="B702" t="s">
        <v>1</v>
      </c>
      <c r="C702" s="3">
        <v>46276</v>
      </c>
      <c r="D702" t="s">
        <v>2</v>
      </c>
      <c r="E702" t="s">
        <v>0</v>
      </c>
      <c r="F702" s="5">
        <v>122670</v>
      </c>
      <c r="G702" s="5" t="str">
        <f>VLOOKUP(F702,'[1]46974159BCSET2026'!$F:$AE,26,0)</f>
        <v>Sim</v>
      </c>
      <c r="H702" t="s">
        <v>3</v>
      </c>
      <c r="I702" s="3">
        <v>46276</v>
      </c>
      <c r="J702" t="s">
        <v>4</v>
      </c>
      <c r="K702" t="s">
        <v>261</v>
      </c>
      <c r="L702" t="s">
        <v>262</v>
      </c>
      <c r="M702" s="8">
        <v>-97.88</v>
      </c>
      <c r="N702" t="s">
        <v>0</v>
      </c>
      <c r="O702" t="s">
        <v>7</v>
      </c>
      <c r="P702" t="s">
        <v>8</v>
      </c>
    </row>
    <row r="703" spans="1:16" ht="13.95" customHeight="1" x14ac:dyDescent="0.25">
      <c r="A703" s="2" t="s">
        <v>0</v>
      </c>
      <c r="B703" t="s">
        <v>1</v>
      </c>
      <c r="C703" s="3">
        <v>46276</v>
      </c>
      <c r="D703" t="s">
        <v>2</v>
      </c>
      <c r="E703" t="s">
        <v>0</v>
      </c>
      <c r="F703" s="5">
        <v>122653</v>
      </c>
      <c r="G703" s="5" t="str">
        <f>VLOOKUP(F703,'[1]46974159BCSET2026'!$F:$AE,26,0)</f>
        <v>Sim</v>
      </c>
      <c r="H703" t="s">
        <v>3</v>
      </c>
      <c r="I703" s="3">
        <v>46276</v>
      </c>
      <c r="J703" t="s">
        <v>4</v>
      </c>
      <c r="K703" t="s">
        <v>1014</v>
      </c>
      <c r="L703" t="s">
        <v>1015</v>
      </c>
      <c r="M703" s="8">
        <v>-93.88</v>
      </c>
      <c r="N703" t="s">
        <v>0</v>
      </c>
      <c r="O703" t="s">
        <v>7</v>
      </c>
      <c r="P703" t="s">
        <v>8</v>
      </c>
    </row>
    <row r="704" spans="1:16" ht="13.95" customHeight="1" x14ac:dyDescent="0.25">
      <c r="A704" s="2" t="s">
        <v>0</v>
      </c>
      <c r="B704" t="s">
        <v>1</v>
      </c>
      <c r="C704" s="3">
        <v>46276</v>
      </c>
      <c r="D704" t="s">
        <v>2</v>
      </c>
      <c r="E704" t="s">
        <v>0</v>
      </c>
      <c r="F704" s="5">
        <v>122630</v>
      </c>
      <c r="G704" s="5" t="str">
        <f>VLOOKUP(F704,'[1]46974159BCSET2026'!$F:$AE,26,0)</f>
        <v>Sim</v>
      </c>
      <c r="H704" t="s">
        <v>3</v>
      </c>
      <c r="I704" s="3">
        <v>46276</v>
      </c>
      <c r="J704" t="s">
        <v>4</v>
      </c>
      <c r="K704" t="s">
        <v>1016</v>
      </c>
      <c r="L704" t="s">
        <v>1017</v>
      </c>
      <c r="M704" s="8">
        <v>-92.22</v>
      </c>
      <c r="N704" t="s">
        <v>0</v>
      </c>
      <c r="O704" t="s">
        <v>7</v>
      </c>
      <c r="P704" t="s">
        <v>8</v>
      </c>
    </row>
    <row r="705" spans="1:16" ht="13.95" customHeight="1" x14ac:dyDescent="0.25">
      <c r="A705" s="2" t="s">
        <v>0</v>
      </c>
      <c r="B705" t="s">
        <v>1</v>
      </c>
      <c r="C705" s="3">
        <v>46276</v>
      </c>
      <c r="D705" t="s">
        <v>2</v>
      </c>
      <c r="E705" t="s">
        <v>0</v>
      </c>
      <c r="F705" s="5">
        <v>122340</v>
      </c>
      <c r="G705" s="5" t="str">
        <f>VLOOKUP(F705,'[1]46974159BCSET2026'!$F:$AE,26,0)</f>
        <v>Sim</v>
      </c>
      <c r="H705" t="s">
        <v>3</v>
      </c>
      <c r="I705" s="3">
        <v>46276</v>
      </c>
      <c r="J705" t="s">
        <v>4</v>
      </c>
      <c r="K705" t="s">
        <v>1018</v>
      </c>
      <c r="L705" t="s">
        <v>1019</v>
      </c>
      <c r="M705" s="8">
        <v>-88.05</v>
      </c>
      <c r="N705" t="s">
        <v>0</v>
      </c>
      <c r="O705" t="s">
        <v>7</v>
      </c>
      <c r="P705" t="s">
        <v>8</v>
      </c>
    </row>
    <row r="706" spans="1:16" ht="13.95" customHeight="1" x14ac:dyDescent="0.25">
      <c r="A706" s="2" t="s">
        <v>0</v>
      </c>
      <c r="B706" t="s">
        <v>1</v>
      </c>
      <c r="C706" s="3">
        <v>46276</v>
      </c>
      <c r="D706" t="s">
        <v>2</v>
      </c>
      <c r="E706" t="s">
        <v>0</v>
      </c>
      <c r="F706" s="5">
        <v>122579</v>
      </c>
      <c r="G706" s="5" t="str">
        <f>VLOOKUP(F706,'[1]46974159BCSET2026'!$F:$AE,26,0)</f>
        <v>Sim</v>
      </c>
      <c r="H706" t="s">
        <v>3</v>
      </c>
      <c r="I706" s="3">
        <v>46276</v>
      </c>
      <c r="J706" t="s">
        <v>4</v>
      </c>
      <c r="K706" t="s">
        <v>1020</v>
      </c>
      <c r="L706" t="s">
        <v>1021</v>
      </c>
      <c r="M706" s="8">
        <v>-87.34</v>
      </c>
      <c r="N706" t="s">
        <v>0</v>
      </c>
      <c r="O706" t="s">
        <v>7</v>
      </c>
      <c r="P706" t="s">
        <v>8</v>
      </c>
    </row>
    <row r="707" spans="1:16" ht="13.95" customHeight="1" x14ac:dyDescent="0.25">
      <c r="A707" s="2" t="s">
        <v>0</v>
      </c>
      <c r="B707" t="s">
        <v>1</v>
      </c>
      <c r="C707" s="3">
        <v>46276</v>
      </c>
      <c r="D707" t="s">
        <v>2</v>
      </c>
      <c r="E707" t="s">
        <v>0</v>
      </c>
      <c r="F707" s="5">
        <v>122645</v>
      </c>
      <c r="G707" s="5" t="str">
        <f>VLOOKUP(F707,'[1]46974159BCSET2026'!$F:$AE,26,0)</f>
        <v>Sim</v>
      </c>
      <c r="H707" t="s">
        <v>3</v>
      </c>
      <c r="I707" s="3">
        <v>46276</v>
      </c>
      <c r="J707" t="s">
        <v>4</v>
      </c>
      <c r="K707" t="s">
        <v>856</v>
      </c>
      <c r="L707" t="s">
        <v>857</v>
      </c>
      <c r="M707" s="8">
        <v>-81.569999999999993</v>
      </c>
      <c r="N707" t="s">
        <v>0</v>
      </c>
      <c r="O707" t="s">
        <v>7</v>
      </c>
      <c r="P707" t="s">
        <v>8</v>
      </c>
    </row>
    <row r="708" spans="1:16" ht="13.95" customHeight="1" x14ac:dyDescent="0.25">
      <c r="A708" s="2" t="s">
        <v>0</v>
      </c>
      <c r="B708" t="s">
        <v>1</v>
      </c>
      <c r="C708" s="3">
        <v>46276</v>
      </c>
      <c r="D708" t="s">
        <v>2</v>
      </c>
      <c r="E708" t="s">
        <v>0</v>
      </c>
      <c r="F708" s="5">
        <v>122689</v>
      </c>
      <c r="G708" s="5" t="str">
        <f>VLOOKUP(F708,'[1]46974159BCSET2026'!$F:$AE,26,0)</f>
        <v>Sim</v>
      </c>
      <c r="H708" t="s">
        <v>3</v>
      </c>
      <c r="I708" s="3">
        <v>46276</v>
      </c>
      <c r="J708" t="s">
        <v>4</v>
      </c>
      <c r="K708" t="s">
        <v>646</v>
      </c>
      <c r="L708" t="s">
        <v>647</v>
      </c>
      <c r="M708" s="8">
        <v>-75.510000000000005</v>
      </c>
      <c r="N708" t="s">
        <v>0</v>
      </c>
      <c r="O708" t="s">
        <v>7</v>
      </c>
      <c r="P708" t="s">
        <v>8</v>
      </c>
    </row>
    <row r="709" spans="1:16" ht="13.95" customHeight="1" x14ac:dyDescent="0.25">
      <c r="A709" s="2" t="s">
        <v>0</v>
      </c>
      <c r="B709" t="s">
        <v>1</v>
      </c>
      <c r="C709" s="3">
        <v>46276</v>
      </c>
      <c r="D709" t="s">
        <v>2</v>
      </c>
      <c r="E709" t="s">
        <v>0</v>
      </c>
      <c r="F709" s="5">
        <v>122214</v>
      </c>
      <c r="G709" s="5" t="str">
        <f>VLOOKUP(F709,'[1]46974159BCSET2026'!$F:$AE,26,0)</f>
        <v>Sim</v>
      </c>
      <c r="H709" t="s">
        <v>3</v>
      </c>
      <c r="I709" s="3">
        <v>46276</v>
      </c>
      <c r="J709" t="s">
        <v>4</v>
      </c>
      <c r="K709" t="s">
        <v>582</v>
      </c>
      <c r="L709" t="s">
        <v>583</v>
      </c>
      <c r="M709" s="8">
        <v>-73.41</v>
      </c>
      <c r="N709" t="s">
        <v>0</v>
      </c>
      <c r="O709" t="s">
        <v>7</v>
      </c>
      <c r="P709" t="s">
        <v>8</v>
      </c>
    </row>
    <row r="710" spans="1:16" ht="13.95" customHeight="1" x14ac:dyDescent="0.25">
      <c r="A710" s="2" t="s">
        <v>0</v>
      </c>
      <c r="B710" t="s">
        <v>1</v>
      </c>
      <c r="C710" s="3">
        <v>46276</v>
      </c>
      <c r="D710" t="s">
        <v>2</v>
      </c>
      <c r="E710" t="s">
        <v>0</v>
      </c>
      <c r="F710" s="5">
        <v>122506</v>
      </c>
      <c r="G710" s="5" t="str">
        <f>VLOOKUP(F710,'[1]46974159BCSET2026'!$F:$AE,26,0)</f>
        <v>Sim</v>
      </c>
      <c r="H710" t="s">
        <v>3</v>
      </c>
      <c r="I710" s="3">
        <v>46276</v>
      </c>
      <c r="J710" t="s">
        <v>4</v>
      </c>
      <c r="K710" t="s">
        <v>231</v>
      </c>
      <c r="L710" t="s">
        <v>232</v>
      </c>
      <c r="M710" s="8">
        <v>-73.41</v>
      </c>
      <c r="N710" t="s">
        <v>0</v>
      </c>
      <c r="O710" t="s">
        <v>7</v>
      </c>
      <c r="P710" t="s">
        <v>8</v>
      </c>
    </row>
    <row r="711" spans="1:16" ht="13.95" customHeight="1" x14ac:dyDescent="0.25">
      <c r="A711" s="2" t="s">
        <v>0</v>
      </c>
      <c r="B711" t="s">
        <v>1</v>
      </c>
      <c r="C711" s="3">
        <v>46276</v>
      </c>
      <c r="D711" t="s">
        <v>2</v>
      </c>
      <c r="E711" t="s">
        <v>0</v>
      </c>
      <c r="F711" s="5">
        <v>122650</v>
      </c>
      <c r="G711" s="5" t="str">
        <f>VLOOKUP(F711,'[1]46974159BCSET2026'!$F:$AE,26,0)</f>
        <v>Sim</v>
      </c>
      <c r="H711" t="s">
        <v>3</v>
      </c>
      <c r="I711" s="3">
        <v>46276</v>
      </c>
      <c r="J711" t="s">
        <v>4</v>
      </c>
      <c r="K711" t="s">
        <v>153</v>
      </c>
      <c r="L711" t="s">
        <v>154</v>
      </c>
      <c r="M711" s="8">
        <v>-68.88</v>
      </c>
      <c r="N711" t="s">
        <v>0</v>
      </c>
      <c r="O711" t="s">
        <v>7</v>
      </c>
      <c r="P711" t="s">
        <v>8</v>
      </c>
    </row>
    <row r="712" spans="1:16" ht="13.95" customHeight="1" x14ac:dyDescent="0.25">
      <c r="A712" s="2" t="s">
        <v>0</v>
      </c>
      <c r="B712" t="s">
        <v>1</v>
      </c>
      <c r="C712" s="3">
        <v>46276</v>
      </c>
      <c r="D712" t="s">
        <v>2</v>
      </c>
      <c r="E712" t="s">
        <v>0</v>
      </c>
      <c r="F712" s="5">
        <v>122401</v>
      </c>
      <c r="G712" s="5" t="str">
        <f>VLOOKUP(F712,'[1]46974159BCSET2026'!$F:$AE,26,0)</f>
        <v>Sim</v>
      </c>
      <c r="H712" t="s">
        <v>3</v>
      </c>
      <c r="I712" s="3">
        <v>46276</v>
      </c>
      <c r="J712" t="s">
        <v>4</v>
      </c>
      <c r="K712" t="s">
        <v>1022</v>
      </c>
      <c r="L712" t="s">
        <v>1023</v>
      </c>
      <c r="M712" s="8">
        <v>-67.61</v>
      </c>
      <c r="N712" t="s">
        <v>0</v>
      </c>
      <c r="O712" t="s">
        <v>7</v>
      </c>
      <c r="P712" t="s">
        <v>8</v>
      </c>
    </row>
    <row r="713" spans="1:16" ht="13.95" customHeight="1" x14ac:dyDescent="0.25">
      <c r="A713" s="2" t="s">
        <v>0</v>
      </c>
      <c r="B713" t="s">
        <v>1</v>
      </c>
      <c r="C713" s="3">
        <v>46276</v>
      </c>
      <c r="D713" t="s">
        <v>2</v>
      </c>
      <c r="E713" t="s">
        <v>0</v>
      </c>
      <c r="F713" s="5">
        <v>122670</v>
      </c>
      <c r="G713" s="5" t="str">
        <f>VLOOKUP(F713,'[1]46974159BCSET2026'!$F:$AE,26,0)</f>
        <v>Sim</v>
      </c>
      <c r="H713" t="s">
        <v>3</v>
      </c>
      <c r="I713" s="3">
        <v>46276</v>
      </c>
      <c r="J713" t="s">
        <v>4</v>
      </c>
      <c r="K713" t="s">
        <v>261</v>
      </c>
      <c r="L713" t="s">
        <v>262</v>
      </c>
      <c r="M713" s="8">
        <v>-66.67</v>
      </c>
      <c r="N713" t="s">
        <v>0</v>
      </c>
      <c r="O713" t="s">
        <v>7</v>
      </c>
      <c r="P713" t="s">
        <v>8</v>
      </c>
    </row>
    <row r="714" spans="1:16" ht="13.95" customHeight="1" x14ac:dyDescent="0.25">
      <c r="A714" s="2" t="s">
        <v>0</v>
      </c>
      <c r="B714" t="s">
        <v>1</v>
      </c>
      <c r="C714" s="3">
        <v>46276</v>
      </c>
      <c r="D714" t="s">
        <v>2</v>
      </c>
      <c r="E714" t="s">
        <v>0</v>
      </c>
      <c r="F714" s="5">
        <v>122547</v>
      </c>
      <c r="G714" s="5" t="str">
        <f>VLOOKUP(F714,'[1]46974159BCSET2026'!$F:$AE,26,0)</f>
        <v>Sim</v>
      </c>
      <c r="H714" t="s">
        <v>3</v>
      </c>
      <c r="I714" s="3">
        <v>46276</v>
      </c>
      <c r="J714" t="s">
        <v>4</v>
      </c>
      <c r="K714" t="s">
        <v>1024</v>
      </c>
      <c r="L714" t="s">
        <v>1025</v>
      </c>
      <c r="M714" s="8">
        <v>-64.61</v>
      </c>
      <c r="N714" t="s">
        <v>0</v>
      </c>
      <c r="O714" t="s">
        <v>7</v>
      </c>
      <c r="P714" t="s">
        <v>8</v>
      </c>
    </row>
    <row r="715" spans="1:16" ht="13.95" customHeight="1" x14ac:dyDescent="0.25">
      <c r="A715" s="2" t="s">
        <v>0</v>
      </c>
      <c r="B715" t="s">
        <v>1</v>
      </c>
      <c r="C715" s="3">
        <v>46276</v>
      </c>
      <c r="D715" t="s">
        <v>2</v>
      </c>
      <c r="E715" t="s">
        <v>0</v>
      </c>
      <c r="F715" s="5">
        <v>122194</v>
      </c>
      <c r="G715" s="5" t="str">
        <f>VLOOKUP(F715,'[1]46974159BCSET2026'!$F:$AE,26,0)</f>
        <v>Sim</v>
      </c>
      <c r="H715" t="s">
        <v>3</v>
      </c>
      <c r="I715" s="3">
        <v>46276</v>
      </c>
      <c r="J715" t="s">
        <v>4</v>
      </c>
      <c r="K715" t="s">
        <v>223</v>
      </c>
      <c r="L715" t="s">
        <v>224</v>
      </c>
      <c r="M715" s="8">
        <v>-64.489999999999995</v>
      </c>
      <c r="N715" t="s">
        <v>0</v>
      </c>
      <c r="O715" t="s">
        <v>7</v>
      </c>
      <c r="P715" t="s">
        <v>8</v>
      </c>
    </row>
    <row r="716" spans="1:16" ht="13.95" customHeight="1" x14ac:dyDescent="0.25">
      <c r="A716" s="2" t="s">
        <v>0</v>
      </c>
      <c r="B716" t="s">
        <v>1</v>
      </c>
      <c r="C716" s="3">
        <v>46276</v>
      </c>
      <c r="D716" t="s">
        <v>2</v>
      </c>
      <c r="E716" t="s">
        <v>0</v>
      </c>
      <c r="F716" s="5">
        <v>122221</v>
      </c>
      <c r="G716" s="5" t="str">
        <f>VLOOKUP(F716,'[1]46974159BCSET2026'!$F:$AE,26,0)</f>
        <v>Sim</v>
      </c>
      <c r="H716" t="s">
        <v>3</v>
      </c>
      <c r="I716" s="3">
        <v>46276</v>
      </c>
      <c r="J716" t="s">
        <v>4</v>
      </c>
      <c r="K716" t="s">
        <v>62</v>
      </c>
      <c r="L716" t="s">
        <v>63</v>
      </c>
      <c r="M716" s="8">
        <v>-64.28</v>
      </c>
      <c r="N716" t="s">
        <v>0</v>
      </c>
      <c r="O716" t="s">
        <v>7</v>
      </c>
      <c r="P716" t="s">
        <v>8</v>
      </c>
    </row>
    <row r="717" spans="1:16" ht="13.95" customHeight="1" x14ac:dyDescent="0.25">
      <c r="A717" s="2" t="s">
        <v>0</v>
      </c>
      <c r="B717" t="s">
        <v>1</v>
      </c>
      <c r="C717" s="3">
        <v>46276</v>
      </c>
      <c r="D717" t="s">
        <v>2</v>
      </c>
      <c r="E717" t="s">
        <v>0</v>
      </c>
      <c r="F717" s="5">
        <v>122650</v>
      </c>
      <c r="G717" s="5" t="str">
        <f>VLOOKUP(F717,'[1]46974159BCSET2026'!$F:$AE,26,0)</f>
        <v>Sim</v>
      </c>
      <c r="H717" t="s">
        <v>3</v>
      </c>
      <c r="I717" s="3">
        <v>46276</v>
      </c>
      <c r="J717" t="s">
        <v>4</v>
      </c>
      <c r="K717" t="s">
        <v>153</v>
      </c>
      <c r="L717" t="s">
        <v>154</v>
      </c>
      <c r="M717" s="8">
        <v>-63.49</v>
      </c>
      <c r="N717" t="s">
        <v>0</v>
      </c>
      <c r="O717" t="s">
        <v>7</v>
      </c>
      <c r="P717" t="s">
        <v>8</v>
      </c>
    </row>
    <row r="718" spans="1:16" ht="13.95" customHeight="1" x14ac:dyDescent="0.25">
      <c r="A718" s="2" t="s">
        <v>0</v>
      </c>
      <c r="B718" t="s">
        <v>1</v>
      </c>
      <c r="C718" s="3">
        <v>46276</v>
      </c>
      <c r="D718" t="s">
        <v>2</v>
      </c>
      <c r="E718" t="s">
        <v>0</v>
      </c>
      <c r="F718" s="5">
        <v>122529</v>
      </c>
      <c r="G718" s="5" t="str">
        <f>VLOOKUP(F718,'[1]46974159BCSET2026'!$F:$AE,26,0)</f>
        <v>Sim</v>
      </c>
      <c r="H718" t="s">
        <v>3</v>
      </c>
      <c r="I718" s="3">
        <v>46276</v>
      </c>
      <c r="J718" t="s">
        <v>4</v>
      </c>
      <c r="K718" t="s">
        <v>658</v>
      </c>
      <c r="L718" t="s">
        <v>659</v>
      </c>
      <c r="M718" s="8">
        <v>-62.86</v>
      </c>
      <c r="N718" t="s">
        <v>0</v>
      </c>
      <c r="O718" t="s">
        <v>7</v>
      </c>
      <c r="P718" t="s">
        <v>8</v>
      </c>
    </row>
    <row r="719" spans="1:16" ht="13.95" customHeight="1" x14ac:dyDescent="0.25">
      <c r="A719" s="2" t="s">
        <v>0</v>
      </c>
      <c r="B719" t="s">
        <v>1</v>
      </c>
      <c r="C719" s="3">
        <v>46276</v>
      </c>
      <c r="D719" t="s">
        <v>2</v>
      </c>
      <c r="E719" t="s">
        <v>0</v>
      </c>
      <c r="F719" s="5">
        <v>122232</v>
      </c>
      <c r="G719" s="5" t="str">
        <f>VLOOKUP(F719,'[1]46974159BCSET2026'!$F:$AE,26,0)</f>
        <v>Sim</v>
      </c>
      <c r="H719" t="s">
        <v>3</v>
      </c>
      <c r="I719" s="3">
        <v>46276</v>
      </c>
      <c r="J719" t="s">
        <v>4</v>
      </c>
      <c r="K719" t="s">
        <v>994</v>
      </c>
      <c r="L719" t="s">
        <v>995</v>
      </c>
      <c r="M719" s="8">
        <v>-61.47</v>
      </c>
      <c r="N719" t="s">
        <v>0</v>
      </c>
      <c r="O719" t="s">
        <v>7</v>
      </c>
      <c r="P719" t="s">
        <v>8</v>
      </c>
    </row>
    <row r="720" spans="1:16" ht="13.95" customHeight="1" x14ac:dyDescent="0.25">
      <c r="A720" s="2" t="s">
        <v>0</v>
      </c>
      <c r="B720" t="s">
        <v>1</v>
      </c>
      <c r="C720" s="3">
        <v>46276</v>
      </c>
      <c r="D720" t="s">
        <v>2</v>
      </c>
      <c r="E720" t="s">
        <v>0</v>
      </c>
      <c r="F720" s="5">
        <v>122667</v>
      </c>
      <c r="G720" s="5" t="str">
        <f>VLOOKUP(F720,'[1]46974159BCSET2026'!$F:$AE,26,0)</f>
        <v>Sim</v>
      </c>
      <c r="H720" t="s">
        <v>3</v>
      </c>
      <c r="I720" s="3">
        <v>46276</v>
      </c>
      <c r="J720" t="s">
        <v>4</v>
      </c>
      <c r="K720" t="s">
        <v>303</v>
      </c>
      <c r="L720" t="s">
        <v>304</v>
      </c>
      <c r="M720" s="8">
        <v>-61.17</v>
      </c>
      <c r="N720" t="s">
        <v>0</v>
      </c>
      <c r="O720" t="s">
        <v>7</v>
      </c>
      <c r="P720" t="s">
        <v>8</v>
      </c>
    </row>
    <row r="721" spans="1:16" ht="13.95" customHeight="1" x14ac:dyDescent="0.25">
      <c r="A721" s="2" t="s">
        <v>0</v>
      </c>
      <c r="B721" t="s">
        <v>1</v>
      </c>
      <c r="C721" s="3">
        <v>46276</v>
      </c>
      <c r="D721" t="s">
        <v>2</v>
      </c>
      <c r="E721" t="s">
        <v>0</v>
      </c>
      <c r="F721" s="5">
        <v>122679</v>
      </c>
      <c r="G721" s="5" t="str">
        <f>VLOOKUP(F721,'[1]46974159BCSET2026'!$F:$AE,26,0)</f>
        <v>Sim</v>
      </c>
      <c r="H721" t="s">
        <v>3</v>
      </c>
      <c r="I721" s="3">
        <v>46276</v>
      </c>
      <c r="J721" t="s">
        <v>4</v>
      </c>
      <c r="K721" t="s">
        <v>467</v>
      </c>
      <c r="L721" t="s">
        <v>468</v>
      </c>
      <c r="M721" s="8">
        <v>-61.17</v>
      </c>
      <c r="N721" t="s">
        <v>0</v>
      </c>
      <c r="O721" t="s">
        <v>7</v>
      </c>
      <c r="P721" t="s">
        <v>8</v>
      </c>
    </row>
    <row r="722" spans="1:16" ht="13.95" customHeight="1" x14ac:dyDescent="0.25">
      <c r="A722" s="2" t="s">
        <v>0</v>
      </c>
      <c r="B722" t="s">
        <v>1</v>
      </c>
      <c r="C722" s="3">
        <v>46276</v>
      </c>
      <c r="D722" t="s">
        <v>2</v>
      </c>
      <c r="E722" t="s">
        <v>0</v>
      </c>
      <c r="F722" s="5">
        <v>122512</v>
      </c>
      <c r="G722" s="5" t="str">
        <f>VLOOKUP(F722,'[1]46974159BCSET2026'!$F:$AE,26,0)</f>
        <v>Sim</v>
      </c>
      <c r="H722" t="s">
        <v>3</v>
      </c>
      <c r="I722" s="3">
        <v>46276</v>
      </c>
      <c r="J722" t="s">
        <v>4</v>
      </c>
      <c r="K722" t="s">
        <v>722</v>
      </c>
      <c r="L722" t="s">
        <v>723</v>
      </c>
      <c r="M722" s="8">
        <v>-61.1</v>
      </c>
      <c r="N722" t="s">
        <v>0</v>
      </c>
      <c r="O722" t="s">
        <v>7</v>
      </c>
      <c r="P722" t="s">
        <v>8</v>
      </c>
    </row>
    <row r="723" spans="1:16" ht="13.95" customHeight="1" x14ac:dyDescent="0.25">
      <c r="A723" s="2" t="s">
        <v>0</v>
      </c>
      <c r="B723" t="s">
        <v>1</v>
      </c>
      <c r="C723" s="3">
        <v>46276</v>
      </c>
      <c r="D723" t="s">
        <v>2</v>
      </c>
      <c r="E723" t="s">
        <v>0</v>
      </c>
      <c r="F723" s="5">
        <v>122515</v>
      </c>
      <c r="G723" s="5" t="str">
        <f>VLOOKUP(F723,'[1]46974159BCSET2026'!$F:$AE,26,0)</f>
        <v>Sim</v>
      </c>
      <c r="H723" t="s">
        <v>3</v>
      </c>
      <c r="I723" s="3">
        <v>46276</v>
      </c>
      <c r="J723" t="s">
        <v>4</v>
      </c>
      <c r="K723" t="s">
        <v>848</v>
      </c>
      <c r="L723" t="s">
        <v>849</v>
      </c>
      <c r="M723" s="8">
        <v>-60.92</v>
      </c>
      <c r="N723" t="s">
        <v>0</v>
      </c>
      <c r="O723" t="s">
        <v>7</v>
      </c>
      <c r="P723" t="s">
        <v>8</v>
      </c>
    </row>
    <row r="724" spans="1:16" ht="13.95" customHeight="1" x14ac:dyDescent="0.25">
      <c r="A724" s="2" t="s">
        <v>0</v>
      </c>
      <c r="B724" t="s">
        <v>1</v>
      </c>
      <c r="C724" s="3">
        <v>46276</v>
      </c>
      <c r="D724" t="s">
        <v>2</v>
      </c>
      <c r="E724" t="s">
        <v>0</v>
      </c>
      <c r="F724" s="5">
        <v>122194</v>
      </c>
      <c r="G724" s="5" t="str">
        <f>VLOOKUP(F724,'[1]46974159BCSET2026'!$F:$AE,26,0)</f>
        <v>Sim</v>
      </c>
      <c r="H724" t="s">
        <v>3</v>
      </c>
      <c r="I724" s="3">
        <v>46276</v>
      </c>
      <c r="J724" t="s">
        <v>4</v>
      </c>
      <c r="K724" t="s">
        <v>223</v>
      </c>
      <c r="L724" t="s">
        <v>224</v>
      </c>
      <c r="M724" s="8">
        <v>-50.09</v>
      </c>
      <c r="N724" t="s">
        <v>0</v>
      </c>
      <c r="O724" t="s">
        <v>7</v>
      </c>
      <c r="P724" t="s">
        <v>8</v>
      </c>
    </row>
    <row r="725" spans="1:16" ht="13.95" customHeight="1" x14ac:dyDescent="0.25">
      <c r="A725" s="2" t="s">
        <v>0</v>
      </c>
      <c r="B725" t="s">
        <v>1</v>
      </c>
      <c r="C725" s="3">
        <v>46276</v>
      </c>
      <c r="D725" t="s">
        <v>2</v>
      </c>
      <c r="E725" t="s">
        <v>0</v>
      </c>
      <c r="F725" s="5">
        <v>122211</v>
      </c>
      <c r="G725" s="5" t="str">
        <f>VLOOKUP(F725,'[1]46974159BCSET2026'!$F:$AE,26,0)</f>
        <v>Sim</v>
      </c>
      <c r="H725" t="s">
        <v>3</v>
      </c>
      <c r="I725" s="3">
        <v>46276</v>
      </c>
      <c r="J725" t="s">
        <v>4</v>
      </c>
      <c r="K725" t="s">
        <v>463</v>
      </c>
      <c r="L725" t="s">
        <v>464</v>
      </c>
      <c r="M725" s="8">
        <v>-48.94</v>
      </c>
      <c r="N725" t="s">
        <v>0</v>
      </c>
      <c r="O725" t="s">
        <v>7</v>
      </c>
      <c r="P725" t="s">
        <v>8</v>
      </c>
    </row>
    <row r="726" spans="1:16" ht="13.95" customHeight="1" x14ac:dyDescent="0.25">
      <c r="A726" s="2" t="s">
        <v>0</v>
      </c>
      <c r="B726" t="s">
        <v>1</v>
      </c>
      <c r="C726" s="3">
        <v>46276</v>
      </c>
      <c r="D726" t="s">
        <v>2</v>
      </c>
      <c r="E726" t="s">
        <v>0</v>
      </c>
      <c r="F726" s="5">
        <v>122685</v>
      </c>
      <c r="G726" s="5" t="str">
        <f>VLOOKUP(F726,'[1]46974159BCSET2026'!$F:$AE,26,0)</f>
        <v>Sim</v>
      </c>
      <c r="H726" t="s">
        <v>3</v>
      </c>
      <c r="I726" s="3">
        <v>46276</v>
      </c>
      <c r="J726" t="s">
        <v>4</v>
      </c>
      <c r="K726" t="s">
        <v>347</v>
      </c>
      <c r="L726" t="s">
        <v>348</v>
      </c>
      <c r="M726" s="8">
        <v>-48.94</v>
      </c>
      <c r="N726" t="s">
        <v>0</v>
      </c>
      <c r="O726" t="s">
        <v>7</v>
      </c>
      <c r="P726" t="s">
        <v>8</v>
      </c>
    </row>
    <row r="727" spans="1:16" ht="13.95" customHeight="1" x14ac:dyDescent="0.25">
      <c r="A727" s="2" t="s">
        <v>0</v>
      </c>
      <c r="B727" t="s">
        <v>1</v>
      </c>
      <c r="C727" s="3">
        <v>46276</v>
      </c>
      <c r="D727" t="s">
        <v>2</v>
      </c>
      <c r="E727" t="s">
        <v>0</v>
      </c>
      <c r="F727" s="5">
        <v>122432</v>
      </c>
      <c r="G727" s="5" t="str">
        <f>VLOOKUP(F727,'[1]46974159BCSET2026'!$F:$AE,26,0)</f>
        <v>Sim</v>
      </c>
      <c r="H727" t="s">
        <v>3</v>
      </c>
      <c r="I727" s="3">
        <v>46276</v>
      </c>
      <c r="J727" t="s">
        <v>4</v>
      </c>
      <c r="K727" t="s">
        <v>1026</v>
      </c>
      <c r="L727" t="s">
        <v>1027</v>
      </c>
      <c r="M727" s="8">
        <v>-43.43</v>
      </c>
      <c r="N727" t="s">
        <v>0</v>
      </c>
      <c r="O727" t="s">
        <v>7</v>
      </c>
      <c r="P727" t="s">
        <v>8</v>
      </c>
    </row>
    <row r="728" spans="1:16" ht="13.95" customHeight="1" x14ac:dyDescent="0.25">
      <c r="A728" s="2" t="s">
        <v>0</v>
      </c>
      <c r="B728" t="s">
        <v>1</v>
      </c>
      <c r="C728" s="3">
        <v>46276</v>
      </c>
      <c r="D728" t="s">
        <v>2</v>
      </c>
      <c r="E728" t="s">
        <v>0</v>
      </c>
      <c r="F728" s="5">
        <v>122661</v>
      </c>
      <c r="G728" s="5" t="str">
        <f>VLOOKUP(F728,'[1]46974159BCSET2026'!$F:$AE,26,0)</f>
        <v>Sim</v>
      </c>
      <c r="H728" t="s">
        <v>3</v>
      </c>
      <c r="I728" s="3">
        <v>46276</v>
      </c>
      <c r="J728" t="s">
        <v>4</v>
      </c>
      <c r="K728" t="s">
        <v>724</v>
      </c>
      <c r="L728" t="s">
        <v>725</v>
      </c>
      <c r="M728" s="8">
        <v>-36.700000000000003</v>
      </c>
      <c r="N728" t="s">
        <v>0</v>
      </c>
      <c r="O728" t="s">
        <v>7</v>
      </c>
      <c r="P728" t="s">
        <v>8</v>
      </c>
    </row>
    <row r="729" spans="1:16" ht="13.95" customHeight="1" x14ac:dyDescent="0.25">
      <c r="A729" s="2" t="s">
        <v>0</v>
      </c>
      <c r="B729" t="s">
        <v>1</v>
      </c>
      <c r="C729" s="3">
        <v>46276</v>
      </c>
      <c r="D729" t="s">
        <v>2</v>
      </c>
      <c r="E729" t="s">
        <v>0</v>
      </c>
      <c r="F729" s="5">
        <v>122534</v>
      </c>
      <c r="G729" s="5" t="str">
        <f>VLOOKUP(F729,'[1]46974159BCSET2026'!$F:$AE,26,0)</f>
        <v>Sim</v>
      </c>
      <c r="H729" t="s">
        <v>3</v>
      </c>
      <c r="I729" s="3">
        <v>46276</v>
      </c>
      <c r="J729" t="s">
        <v>4</v>
      </c>
      <c r="K729" t="s">
        <v>624</v>
      </c>
      <c r="L729" t="s">
        <v>625</v>
      </c>
      <c r="M729" s="8">
        <v>-34.14</v>
      </c>
      <c r="N729" t="s">
        <v>0</v>
      </c>
      <c r="O729" t="s">
        <v>7</v>
      </c>
      <c r="P729" t="s">
        <v>8</v>
      </c>
    </row>
    <row r="730" spans="1:16" ht="13.95" customHeight="1" x14ac:dyDescent="0.25">
      <c r="A730" s="2" t="s">
        <v>0</v>
      </c>
      <c r="B730" t="s">
        <v>1</v>
      </c>
      <c r="C730" s="3">
        <v>46276</v>
      </c>
      <c r="D730" t="s">
        <v>2</v>
      </c>
      <c r="E730" t="s">
        <v>0</v>
      </c>
      <c r="F730" s="5">
        <v>122417</v>
      </c>
      <c r="G730" s="5" t="str">
        <f>VLOOKUP(F730,'[1]46974159BCSET2026'!$F:$AE,26,0)</f>
        <v>Sim</v>
      </c>
      <c r="H730" t="s">
        <v>3</v>
      </c>
      <c r="I730" s="3">
        <v>46276</v>
      </c>
      <c r="J730" t="s">
        <v>4</v>
      </c>
      <c r="K730" t="s">
        <v>1028</v>
      </c>
      <c r="L730" t="s">
        <v>1029</v>
      </c>
      <c r="M730" s="8">
        <v>-31.43</v>
      </c>
      <c r="N730" t="s">
        <v>0</v>
      </c>
      <c r="O730" t="s">
        <v>7</v>
      </c>
      <c r="P730" t="s">
        <v>8</v>
      </c>
    </row>
    <row r="731" spans="1:16" ht="13.95" customHeight="1" x14ac:dyDescent="0.25">
      <c r="A731" s="2" t="s">
        <v>0</v>
      </c>
      <c r="B731" t="s">
        <v>1</v>
      </c>
      <c r="C731" s="3">
        <v>46276</v>
      </c>
      <c r="D731" t="s">
        <v>2</v>
      </c>
      <c r="E731" t="s">
        <v>0</v>
      </c>
      <c r="F731" s="5">
        <v>122511</v>
      </c>
      <c r="G731" s="5" t="str">
        <f>VLOOKUP(F731,'[1]46974159BCSET2026'!$F:$AE,26,0)</f>
        <v>Sim</v>
      </c>
      <c r="H731" t="s">
        <v>3</v>
      </c>
      <c r="I731" s="3">
        <v>46276</v>
      </c>
      <c r="J731" t="s">
        <v>4</v>
      </c>
      <c r="K731" t="s">
        <v>740</v>
      </c>
      <c r="L731" t="s">
        <v>741</v>
      </c>
      <c r="M731" s="8">
        <v>-30.55</v>
      </c>
      <c r="N731" t="s">
        <v>0</v>
      </c>
      <c r="O731" t="s">
        <v>7</v>
      </c>
      <c r="P731" t="s">
        <v>8</v>
      </c>
    </row>
    <row r="732" spans="1:16" ht="13.95" customHeight="1" x14ac:dyDescent="0.25">
      <c r="A732" s="2" t="s">
        <v>0</v>
      </c>
      <c r="B732" t="s">
        <v>1</v>
      </c>
      <c r="C732" s="3">
        <v>46276</v>
      </c>
      <c r="D732" t="s">
        <v>2</v>
      </c>
      <c r="E732" t="s">
        <v>0</v>
      </c>
      <c r="F732" s="5">
        <v>122788</v>
      </c>
      <c r="G732" s="5" t="str">
        <f>VLOOKUP(F732,'[1]46974159BCSET2026'!$F:$AE,26,0)</f>
        <v>Sim</v>
      </c>
      <c r="H732" t="s">
        <v>3</v>
      </c>
      <c r="I732" s="3">
        <v>46276</v>
      </c>
      <c r="J732" t="s">
        <v>4</v>
      </c>
      <c r="K732" t="s">
        <v>1030</v>
      </c>
      <c r="L732" t="s">
        <v>1031</v>
      </c>
      <c r="M732" s="8">
        <v>-30.29</v>
      </c>
      <c r="N732" t="s">
        <v>0</v>
      </c>
      <c r="O732" t="s">
        <v>7</v>
      </c>
      <c r="P732" t="s">
        <v>8</v>
      </c>
    </row>
    <row r="733" spans="1:16" ht="13.95" customHeight="1" x14ac:dyDescent="0.25">
      <c r="A733" s="2" t="s">
        <v>0</v>
      </c>
      <c r="B733" t="s">
        <v>1</v>
      </c>
      <c r="C733" s="3">
        <v>46276</v>
      </c>
      <c r="D733" t="s">
        <v>2</v>
      </c>
      <c r="E733" t="s">
        <v>0</v>
      </c>
      <c r="F733" s="5">
        <v>122524</v>
      </c>
      <c r="G733" s="5" t="str">
        <f>VLOOKUP(F733,'[1]46974159BCSET2026'!$F:$AE,26,0)</f>
        <v>Sim</v>
      </c>
      <c r="H733" t="s">
        <v>3</v>
      </c>
      <c r="I733" s="3">
        <v>46276</v>
      </c>
      <c r="J733" t="s">
        <v>4</v>
      </c>
      <c r="K733" t="s">
        <v>588</v>
      </c>
      <c r="L733" t="s">
        <v>589</v>
      </c>
      <c r="M733" s="8">
        <v>-28.74</v>
      </c>
      <c r="N733" t="s">
        <v>0</v>
      </c>
      <c r="O733" t="s">
        <v>7</v>
      </c>
      <c r="P733" t="s">
        <v>8</v>
      </c>
    </row>
    <row r="734" spans="1:16" ht="13.95" customHeight="1" x14ac:dyDescent="0.25">
      <c r="A734" s="2" t="s">
        <v>0</v>
      </c>
      <c r="B734" t="s">
        <v>1</v>
      </c>
      <c r="C734" s="3">
        <v>46276</v>
      </c>
      <c r="D734" t="s">
        <v>2</v>
      </c>
      <c r="E734" t="s">
        <v>0</v>
      </c>
      <c r="F734" s="5">
        <v>122541</v>
      </c>
      <c r="G734" s="5" t="str">
        <f>VLOOKUP(F734,'[1]46974159BCSET2026'!$F:$AE,26,0)</f>
        <v>Sim</v>
      </c>
      <c r="H734" t="s">
        <v>3</v>
      </c>
      <c r="I734" s="3">
        <v>46276</v>
      </c>
      <c r="J734" t="s">
        <v>4</v>
      </c>
      <c r="K734" t="s">
        <v>441</v>
      </c>
      <c r="L734" t="s">
        <v>442</v>
      </c>
      <c r="M734" s="8">
        <v>-26.91</v>
      </c>
      <c r="N734" t="s">
        <v>0</v>
      </c>
      <c r="O734" t="s">
        <v>7</v>
      </c>
      <c r="P734" t="s">
        <v>8</v>
      </c>
    </row>
    <row r="735" spans="1:16" ht="13.95" customHeight="1" x14ac:dyDescent="0.25">
      <c r="A735" s="2" t="s">
        <v>0</v>
      </c>
      <c r="B735" t="s">
        <v>1</v>
      </c>
      <c r="C735" s="3">
        <v>46276</v>
      </c>
      <c r="D735" t="s">
        <v>2</v>
      </c>
      <c r="E735" t="s">
        <v>0</v>
      </c>
      <c r="F735" s="5">
        <v>122242</v>
      </c>
      <c r="G735" s="5" t="str">
        <f>VLOOKUP(F735,'[1]46974159BCSET2026'!$F:$AE,26,0)</f>
        <v>Sim</v>
      </c>
      <c r="H735" t="s">
        <v>3</v>
      </c>
      <c r="I735" s="3">
        <v>46276</v>
      </c>
      <c r="J735" t="s">
        <v>4</v>
      </c>
      <c r="K735" t="s">
        <v>762</v>
      </c>
      <c r="L735" t="s">
        <v>763</v>
      </c>
      <c r="M735" s="8">
        <v>-24.47</v>
      </c>
      <c r="N735" t="s">
        <v>0</v>
      </c>
      <c r="O735" t="s">
        <v>7</v>
      </c>
      <c r="P735" t="s">
        <v>8</v>
      </c>
    </row>
    <row r="736" spans="1:16" ht="13.95" customHeight="1" x14ac:dyDescent="0.25">
      <c r="A736" s="2" t="s">
        <v>0</v>
      </c>
      <c r="B736" t="s">
        <v>1</v>
      </c>
      <c r="C736" s="3">
        <v>46276</v>
      </c>
      <c r="D736" t="s">
        <v>2</v>
      </c>
      <c r="E736" t="s">
        <v>0</v>
      </c>
      <c r="F736" s="5">
        <v>122244</v>
      </c>
      <c r="G736" s="5" t="str">
        <f>VLOOKUP(F736,'[1]46974159BCSET2026'!$F:$AE,26,0)</f>
        <v>Sim</v>
      </c>
      <c r="H736" t="s">
        <v>3</v>
      </c>
      <c r="I736" s="3">
        <v>46276</v>
      </c>
      <c r="J736" t="s">
        <v>4</v>
      </c>
      <c r="K736" t="s">
        <v>730</v>
      </c>
      <c r="L736" t="s">
        <v>731</v>
      </c>
      <c r="M736" s="8">
        <v>-24.47</v>
      </c>
      <c r="N736" t="s">
        <v>0</v>
      </c>
      <c r="O736" t="s">
        <v>7</v>
      </c>
      <c r="P736" t="s">
        <v>8</v>
      </c>
    </row>
    <row r="737" spans="1:16" ht="13.95" customHeight="1" x14ac:dyDescent="0.25">
      <c r="A737" s="2" t="s">
        <v>0</v>
      </c>
      <c r="B737" t="s">
        <v>1</v>
      </c>
      <c r="C737" s="3">
        <v>46276</v>
      </c>
      <c r="D737" t="s">
        <v>2</v>
      </c>
      <c r="E737" t="s">
        <v>0</v>
      </c>
      <c r="F737" s="5">
        <v>122657</v>
      </c>
      <c r="G737" s="5" t="str">
        <f>VLOOKUP(F737,'[1]46974159BCSET2026'!$F:$AE,26,0)</f>
        <v>Sim</v>
      </c>
      <c r="H737" t="s">
        <v>3</v>
      </c>
      <c r="I737" s="3">
        <v>46276</v>
      </c>
      <c r="J737" t="s">
        <v>4</v>
      </c>
      <c r="K737" t="s">
        <v>375</v>
      </c>
      <c r="L737" t="s">
        <v>376</v>
      </c>
      <c r="M737" s="8">
        <v>-20.37</v>
      </c>
      <c r="N737" t="s">
        <v>0</v>
      </c>
      <c r="O737" t="s">
        <v>7</v>
      </c>
      <c r="P737" t="s">
        <v>8</v>
      </c>
    </row>
    <row r="738" spans="1:16" ht="13.95" customHeight="1" x14ac:dyDescent="0.25">
      <c r="A738" s="2" t="s">
        <v>0</v>
      </c>
      <c r="B738" t="s">
        <v>1</v>
      </c>
      <c r="C738" s="3">
        <v>46276</v>
      </c>
      <c r="D738" t="s">
        <v>2</v>
      </c>
      <c r="E738" t="s">
        <v>0</v>
      </c>
      <c r="F738" s="5">
        <v>122481</v>
      </c>
      <c r="G738" s="5" t="str">
        <f>VLOOKUP(F738,'[1]46974159BCSET2026'!$F:$AE,26,0)</f>
        <v>Sim</v>
      </c>
      <c r="H738" t="s">
        <v>3</v>
      </c>
      <c r="I738" s="3">
        <v>46276</v>
      </c>
      <c r="J738" t="s">
        <v>4</v>
      </c>
      <c r="K738" t="s">
        <v>1032</v>
      </c>
      <c r="L738" t="s">
        <v>1033</v>
      </c>
      <c r="M738" s="8">
        <v>-20.14</v>
      </c>
      <c r="N738" t="s">
        <v>0</v>
      </c>
      <c r="O738" t="s">
        <v>7</v>
      </c>
      <c r="P738" t="s">
        <v>8</v>
      </c>
    </row>
    <row r="739" spans="1:16" ht="13.95" customHeight="1" x14ac:dyDescent="0.25">
      <c r="A739" s="2" t="s">
        <v>0</v>
      </c>
      <c r="B739" t="s">
        <v>1</v>
      </c>
      <c r="C739" s="3">
        <v>46276</v>
      </c>
      <c r="D739" t="s">
        <v>2</v>
      </c>
      <c r="E739" t="s">
        <v>0</v>
      </c>
      <c r="F739" s="5">
        <v>122694</v>
      </c>
      <c r="G739" s="5" t="str">
        <f>VLOOKUP(F739,'[1]46974159BCSET2026'!$F:$AE,26,0)</f>
        <v>Sim</v>
      </c>
      <c r="H739" t="s">
        <v>3</v>
      </c>
      <c r="I739" s="3">
        <v>46276</v>
      </c>
      <c r="J739" t="s">
        <v>4</v>
      </c>
      <c r="K739" t="s">
        <v>914</v>
      </c>
      <c r="L739" t="s">
        <v>915</v>
      </c>
      <c r="M739" s="8">
        <v>-19.88</v>
      </c>
      <c r="N739" t="s">
        <v>0</v>
      </c>
      <c r="O739" t="s">
        <v>7</v>
      </c>
      <c r="P739" t="s">
        <v>8</v>
      </c>
    </row>
    <row r="740" spans="1:16" ht="13.95" customHeight="1" x14ac:dyDescent="0.25">
      <c r="A740" s="2" t="s">
        <v>0</v>
      </c>
      <c r="B740" t="s">
        <v>1</v>
      </c>
      <c r="C740" s="3">
        <v>46276</v>
      </c>
      <c r="D740" t="s">
        <v>2</v>
      </c>
      <c r="E740" t="s">
        <v>0</v>
      </c>
      <c r="F740" s="5">
        <v>122790</v>
      </c>
      <c r="G740" s="5" t="str">
        <f>VLOOKUP(F740,'[1]46974159BCSET2026'!$F:$AE,26,0)</f>
        <v>Sim</v>
      </c>
      <c r="H740" t="s">
        <v>3</v>
      </c>
      <c r="I740" s="3">
        <v>46276</v>
      </c>
      <c r="J740" t="s">
        <v>4</v>
      </c>
      <c r="K740" t="s">
        <v>1034</v>
      </c>
      <c r="L740" t="s">
        <v>1035</v>
      </c>
      <c r="M740" s="8">
        <v>-17.71</v>
      </c>
      <c r="N740" t="s">
        <v>0</v>
      </c>
      <c r="O740" t="s">
        <v>7</v>
      </c>
      <c r="P740" t="s">
        <v>8</v>
      </c>
    </row>
    <row r="741" spans="1:16" ht="13.95" customHeight="1" x14ac:dyDescent="0.25">
      <c r="A741" s="2" t="s">
        <v>0</v>
      </c>
      <c r="B741" t="s">
        <v>1</v>
      </c>
      <c r="C741" s="3">
        <v>46276</v>
      </c>
      <c r="D741" t="s">
        <v>2</v>
      </c>
      <c r="E741" t="s">
        <v>0</v>
      </c>
      <c r="F741" s="5">
        <v>122229</v>
      </c>
      <c r="G741" s="5" t="str">
        <f>VLOOKUP(F741,'[1]46974159BCSET2026'!$F:$AE,26,0)</f>
        <v>Sim</v>
      </c>
      <c r="H741" t="s">
        <v>3</v>
      </c>
      <c r="I741" s="3">
        <v>46276</v>
      </c>
      <c r="J741" t="s">
        <v>4</v>
      </c>
      <c r="K741" t="s">
        <v>892</v>
      </c>
      <c r="L741" t="s">
        <v>893</v>
      </c>
      <c r="M741" s="8">
        <v>-17.100000000000001</v>
      </c>
      <c r="N741" t="s">
        <v>0</v>
      </c>
      <c r="O741" t="s">
        <v>7</v>
      </c>
      <c r="P741" t="s">
        <v>8</v>
      </c>
    </row>
    <row r="742" spans="1:16" ht="13.95" customHeight="1" x14ac:dyDescent="0.25">
      <c r="A742" s="2" t="s">
        <v>0</v>
      </c>
      <c r="B742" t="s">
        <v>1</v>
      </c>
      <c r="C742" s="3">
        <v>46276</v>
      </c>
      <c r="D742" t="s">
        <v>2</v>
      </c>
      <c r="E742" t="s">
        <v>0</v>
      </c>
      <c r="F742" s="5">
        <v>122586</v>
      </c>
      <c r="G742" s="5" t="str">
        <f>VLOOKUP(F742,'[1]46974159BCSET2026'!$F:$AE,26,0)</f>
        <v>Sim</v>
      </c>
      <c r="H742" t="s">
        <v>3</v>
      </c>
      <c r="I742" s="3">
        <v>46276</v>
      </c>
      <c r="J742" t="s">
        <v>4</v>
      </c>
      <c r="K742" t="s">
        <v>1036</v>
      </c>
      <c r="L742" t="s">
        <v>1037</v>
      </c>
      <c r="M742" s="8">
        <v>-16.809999999999999</v>
      </c>
      <c r="N742" t="s">
        <v>0</v>
      </c>
      <c r="O742" t="s">
        <v>7</v>
      </c>
      <c r="P742" t="s">
        <v>8</v>
      </c>
    </row>
    <row r="743" spans="1:16" ht="13.95" customHeight="1" x14ac:dyDescent="0.25">
      <c r="A743" s="2" t="s">
        <v>0</v>
      </c>
      <c r="B743" t="s">
        <v>1</v>
      </c>
      <c r="C743" s="3">
        <v>46276</v>
      </c>
      <c r="D743" t="s">
        <v>2</v>
      </c>
      <c r="E743" t="s">
        <v>0</v>
      </c>
      <c r="F743" s="5">
        <v>122633</v>
      </c>
      <c r="G743" s="5" t="str">
        <f>VLOOKUP(F743,'[1]46974159BCSET2026'!$F:$AE,26,0)</f>
        <v>Sim</v>
      </c>
      <c r="H743" t="s">
        <v>3</v>
      </c>
      <c r="I743" s="3">
        <v>46276</v>
      </c>
      <c r="J743" t="s">
        <v>4</v>
      </c>
      <c r="K743" t="s">
        <v>511</v>
      </c>
      <c r="L743" t="s">
        <v>512</v>
      </c>
      <c r="M743" s="8">
        <v>-14.84</v>
      </c>
      <c r="N743" t="s">
        <v>0</v>
      </c>
      <c r="O743" t="s">
        <v>7</v>
      </c>
      <c r="P743" t="s">
        <v>8</v>
      </c>
    </row>
    <row r="744" spans="1:16" ht="13.95" customHeight="1" x14ac:dyDescent="0.25">
      <c r="A744" s="2" t="s">
        <v>0</v>
      </c>
      <c r="B744" t="s">
        <v>1</v>
      </c>
      <c r="C744" s="3">
        <v>46276</v>
      </c>
      <c r="D744" t="s">
        <v>2</v>
      </c>
      <c r="E744" t="s">
        <v>0</v>
      </c>
      <c r="F744" s="5">
        <v>122663</v>
      </c>
      <c r="G744" s="5" t="str">
        <f>VLOOKUP(F744,'[1]46974159BCSET2026'!$F:$AE,26,0)</f>
        <v>Sim</v>
      </c>
      <c r="H744" t="s">
        <v>3</v>
      </c>
      <c r="I744" s="3">
        <v>46276</v>
      </c>
      <c r="J744" t="s">
        <v>4</v>
      </c>
      <c r="K744" t="s">
        <v>988</v>
      </c>
      <c r="L744" t="s">
        <v>989</v>
      </c>
      <c r="M744" s="8">
        <v>-13.28</v>
      </c>
      <c r="N744" t="s">
        <v>0</v>
      </c>
      <c r="O744" t="s">
        <v>7</v>
      </c>
      <c r="P744" t="s">
        <v>8</v>
      </c>
    </row>
    <row r="745" spans="1:16" ht="13.95" customHeight="1" x14ac:dyDescent="0.25">
      <c r="A745" s="2" t="s">
        <v>0</v>
      </c>
      <c r="B745" t="s">
        <v>1</v>
      </c>
      <c r="C745" s="3">
        <v>46276</v>
      </c>
      <c r="D745" t="s">
        <v>2</v>
      </c>
      <c r="E745" t="s">
        <v>0</v>
      </c>
      <c r="F745" s="5">
        <v>122745</v>
      </c>
      <c r="G745" s="5" t="str">
        <f>VLOOKUP(F745,'[1]46974159BCSET2026'!$F:$AE,26,0)</f>
        <v>Sim</v>
      </c>
      <c r="H745" t="s">
        <v>3</v>
      </c>
      <c r="I745" s="3">
        <v>46276</v>
      </c>
      <c r="J745" t="s">
        <v>4</v>
      </c>
      <c r="K745" t="s">
        <v>1038</v>
      </c>
      <c r="L745" t="s">
        <v>1039</v>
      </c>
      <c r="M745" s="8">
        <v>-13.21</v>
      </c>
      <c r="N745" t="s">
        <v>0</v>
      </c>
      <c r="O745" t="s">
        <v>7</v>
      </c>
      <c r="P745" t="s">
        <v>8</v>
      </c>
    </row>
    <row r="746" spans="1:16" ht="13.95" customHeight="1" x14ac:dyDescent="0.25">
      <c r="A746" s="2" t="s">
        <v>0</v>
      </c>
      <c r="B746" t="s">
        <v>1</v>
      </c>
      <c r="C746" s="3">
        <v>46276</v>
      </c>
      <c r="D746" t="s">
        <v>2</v>
      </c>
      <c r="E746" t="s">
        <v>0</v>
      </c>
      <c r="F746" s="5">
        <v>122354</v>
      </c>
      <c r="G746" s="5" t="str">
        <f>VLOOKUP(F746,'[1]46974159BCSET2026'!$F:$AE,26,0)</f>
        <v>Sim</v>
      </c>
      <c r="H746" t="s">
        <v>3</v>
      </c>
      <c r="I746" s="3">
        <v>46276</v>
      </c>
      <c r="J746" t="s">
        <v>4</v>
      </c>
      <c r="K746" t="s">
        <v>1040</v>
      </c>
      <c r="L746" t="s">
        <v>1041</v>
      </c>
      <c r="M746" s="8">
        <v>-12.57</v>
      </c>
      <c r="N746" t="s">
        <v>0</v>
      </c>
      <c r="O746" t="s">
        <v>7</v>
      </c>
      <c r="P746" t="s">
        <v>8</v>
      </c>
    </row>
    <row r="747" spans="1:16" ht="13.95" customHeight="1" x14ac:dyDescent="0.25">
      <c r="A747" s="2" t="s">
        <v>0</v>
      </c>
      <c r="B747" t="s">
        <v>1</v>
      </c>
      <c r="C747" s="3">
        <v>46276</v>
      </c>
      <c r="D747" t="s">
        <v>2</v>
      </c>
      <c r="E747" t="s">
        <v>0</v>
      </c>
      <c r="F747" s="5">
        <v>122255</v>
      </c>
      <c r="G747" s="5" t="str">
        <f>VLOOKUP(F747,'[1]46974159BCSET2026'!$F:$AE,26,0)</f>
        <v>Sim</v>
      </c>
      <c r="H747" t="s">
        <v>3</v>
      </c>
      <c r="I747" s="3">
        <v>46276</v>
      </c>
      <c r="J747" t="s">
        <v>4</v>
      </c>
      <c r="K747" t="s">
        <v>764</v>
      </c>
      <c r="L747" t="s">
        <v>765</v>
      </c>
      <c r="M747" s="8">
        <v>-12.23</v>
      </c>
      <c r="N747" t="s">
        <v>0</v>
      </c>
      <c r="O747" t="s">
        <v>7</v>
      </c>
      <c r="P747" t="s">
        <v>8</v>
      </c>
    </row>
    <row r="748" spans="1:16" ht="13.95" customHeight="1" x14ac:dyDescent="0.25">
      <c r="A748" s="2" t="s">
        <v>0</v>
      </c>
      <c r="B748" t="s">
        <v>1</v>
      </c>
      <c r="C748" s="3">
        <v>46276</v>
      </c>
      <c r="D748" t="s">
        <v>2</v>
      </c>
      <c r="E748" t="s">
        <v>0</v>
      </c>
      <c r="F748" s="5">
        <v>122361</v>
      </c>
      <c r="G748" s="5" t="str">
        <f>VLOOKUP(F748,'[1]46974159BCSET2026'!$F:$AE,26,0)</f>
        <v>Sim</v>
      </c>
      <c r="H748" t="s">
        <v>3</v>
      </c>
      <c r="I748" s="3">
        <v>46276</v>
      </c>
      <c r="J748" t="s">
        <v>4</v>
      </c>
      <c r="K748" t="s">
        <v>1042</v>
      </c>
      <c r="L748" t="s">
        <v>1043</v>
      </c>
      <c r="M748" s="8">
        <v>-11.43</v>
      </c>
      <c r="N748" t="s">
        <v>0</v>
      </c>
      <c r="O748" t="s">
        <v>7</v>
      </c>
      <c r="P748" t="s">
        <v>8</v>
      </c>
    </row>
    <row r="749" spans="1:16" ht="13.95" customHeight="1" x14ac:dyDescent="0.25">
      <c r="A749" s="2" t="s">
        <v>0</v>
      </c>
      <c r="B749" t="s">
        <v>1</v>
      </c>
      <c r="C749" s="3">
        <v>46276</v>
      </c>
      <c r="D749" t="s">
        <v>2</v>
      </c>
      <c r="E749" t="s">
        <v>0</v>
      </c>
      <c r="F749" s="5">
        <v>122418</v>
      </c>
      <c r="G749" s="5" t="str">
        <f>VLOOKUP(F749,'[1]46974159BCSET2026'!$F:$AE,26,0)</f>
        <v>Sim</v>
      </c>
      <c r="H749" t="s">
        <v>3</v>
      </c>
      <c r="I749" s="3">
        <v>46276</v>
      </c>
      <c r="J749" t="s">
        <v>4</v>
      </c>
      <c r="K749" t="s">
        <v>1044</v>
      </c>
      <c r="L749" t="s">
        <v>1045</v>
      </c>
      <c r="M749" s="8">
        <v>-11.43</v>
      </c>
      <c r="N749" t="s">
        <v>0</v>
      </c>
      <c r="O749" t="s">
        <v>7</v>
      </c>
      <c r="P749" t="s">
        <v>8</v>
      </c>
    </row>
    <row r="750" spans="1:16" ht="13.95" customHeight="1" x14ac:dyDescent="0.25">
      <c r="A750" s="2" t="s">
        <v>0</v>
      </c>
      <c r="B750" t="s">
        <v>1</v>
      </c>
      <c r="C750" s="3">
        <v>46276</v>
      </c>
      <c r="D750" t="s">
        <v>2</v>
      </c>
      <c r="E750" t="s">
        <v>0</v>
      </c>
      <c r="F750" s="5">
        <v>122419</v>
      </c>
      <c r="G750" s="5" t="str">
        <f>VLOOKUP(F750,'[1]46974159BCSET2026'!$F:$AE,26,0)</f>
        <v>Sim</v>
      </c>
      <c r="H750" t="s">
        <v>3</v>
      </c>
      <c r="I750" s="3">
        <v>46276</v>
      </c>
      <c r="J750" t="s">
        <v>4</v>
      </c>
      <c r="K750" t="s">
        <v>1046</v>
      </c>
      <c r="L750" t="s">
        <v>1047</v>
      </c>
      <c r="M750" s="8">
        <v>-10.74</v>
      </c>
      <c r="N750" t="s">
        <v>0</v>
      </c>
      <c r="O750" t="s">
        <v>7</v>
      </c>
      <c r="P750" t="s">
        <v>8</v>
      </c>
    </row>
    <row r="751" spans="1:16" ht="13.95" customHeight="1" x14ac:dyDescent="0.25">
      <c r="A751" s="2" t="s">
        <v>0</v>
      </c>
      <c r="B751" t="s">
        <v>1</v>
      </c>
      <c r="C751" s="3">
        <v>46276</v>
      </c>
      <c r="D751" t="s">
        <v>2</v>
      </c>
      <c r="E751" t="s">
        <v>0</v>
      </c>
      <c r="F751" s="5">
        <v>122376</v>
      </c>
      <c r="G751" s="5" t="str">
        <f>VLOOKUP(F751,'[1]46974159BCSET2026'!$F:$AE,26,0)</f>
        <v>Sim</v>
      </c>
      <c r="H751" t="s">
        <v>3</v>
      </c>
      <c r="I751" s="3">
        <v>46276</v>
      </c>
      <c r="J751" t="s">
        <v>4</v>
      </c>
      <c r="K751" t="s">
        <v>1048</v>
      </c>
      <c r="L751" t="s">
        <v>1049</v>
      </c>
      <c r="M751" s="8">
        <v>-10.44</v>
      </c>
      <c r="N751" t="s">
        <v>0</v>
      </c>
      <c r="O751" t="s">
        <v>7</v>
      </c>
      <c r="P751" t="s">
        <v>8</v>
      </c>
    </row>
    <row r="752" spans="1:16" ht="13.95" customHeight="1" x14ac:dyDescent="0.25">
      <c r="A752" s="2" t="s">
        <v>0</v>
      </c>
      <c r="B752" t="s">
        <v>1</v>
      </c>
      <c r="C752" s="3">
        <v>46276</v>
      </c>
      <c r="D752" t="s">
        <v>2</v>
      </c>
      <c r="E752" t="s">
        <v>0</v>
      </c>
      <c r="F752" s="5">
        <v>122382</v>
      </c>
      <c r="G752" s="5" t="str">
        <f>VLOOKUP(F752,'[1]46974159BCSET2026'!$F:$AE,26,0)</f>
        <v>Sim</v>
      </c>
      <c r="H752" t="s">
        <v>3</v>
      </c>
      <c r="I752" s="3">
        <v>46276</v>
      </c>
      <c r="J752" t="s">
        <v>4</v>
      </c>
      <c r="K752" t="s">
        <v>1050</v>
      </c>
      <c r="L752" t="s">
        <v>1051</v>
      </c>
      <c r="M752" s="8">
        <v>-10.44</v>
      </c>
      <c r="N752" t="s">
        <v>0</v>
      </c>
      <c r="O752" t="s">
        <v>7</v>
      </c>
      <c r="P752" t="s">
        <v>8</v>
      </c>
    </row>
    <row r="753" spans="1:16" ht="13.95" customHeight="1" x14ac:dyDescent="0.25">
      <c r="A753" s="2" t="s">
        <v>0</v>
      </c>
      <c r="B753" t="s">
        <v>1</v>
      </c>
      <c r="C753" s="3">
        <v>46276</v>
      </c>
      <c r="D753" t="s">
        <v>2</v>
      </c>
      <c r="E753" t="s">
        <v>0</v>
      </c>
      <c r="F753" s="5">
        <v>122598</v>
      </c>
      <c r="G753" s="5" t="str">
        <f>VLOOKUP(F753,'[1]46974159BCSET2026'!$F:$AE,26,0)</f>
        <v>Sim</v>
      </c>
      <c r="H753" t="s">
        <v>3</v>
      </c>
      <c r="I753" s="3">
        <v>46276</v>
      </c>
      <c r="J753" t="s">
        <v>4</v>
      </c>
      <c r="K753" t="s">
        <v>1052</v>
      </c>
      <c r="L753" t="s">
        <v>1053</v>
      </c>
      <c r="M753" s="8">
        <v>-10.29</v>
      </c>
      <c r="N753" t="s">
        <v>0</v>
      </c>
      <c r="O753" t="s">
        <v>7</v>
      </c>
      <c r="P753" t="s">
        <v>8</v>
      </c>
    </row>
    <row r="754" spans="1:16" ht="13.95" customHeight="1" x14ac:dyDescent="0.25">
      <c r="A754" s="2" t="s">
        <v>0</v>
      </c>
      <c r="B754" t="s">
        <v>1</v>
      </c>
      <c r="C754" s="3">
        <v>46276</v>
      </c>
      <c r="D754" t="s">
        <v>2</v>
      </c>
      <c r="E754" t="s">
        <v>0</v>
      </c>
      <c r="F754" s="5">
        <v>122528</v>
      </c>
      <c r="G754" s="5" t="str">
        <f>VLOOKUP(F754,'[1]46974159BCSET2026'!$F:$AE,26,0)</f>
        <v>Sim</v>
      </c>
      <c r="H754" t="s">
        <v>3</v>
      </c>
      <c r="I754" s="3">
        <v>46276</v>
      </c>
      <c r="J754" t="s">
        <v>4</v>
      </c>
      <c r="K754" t="s">
        <v>996</v>
      </c>
      <c r="L754" t="s">
        <v>997</v>
      </c>
      <c r="M754" s="8">
        <v>-9.31</v>
      </c>
      <c r="N754" t="s">
        <v>0</v>
      </c>
      <c r="O754" t="s">
        <v>7</v>
      </c>
      <c r="P754" t="s">
        <v>8</v>
      </c>
    </row>
    <row r="755" spans="1:16" ht="13.95" customHeight="1" x14ac:dyDescent="0.25">
      <c r="A755" s="2" t="s">
        <v>0</v>
      </c>
      <c r="B755" t="s">
        <v>1</v>
      </c>
      <c r="C755" s="3">
        <v>46276</v>
      </c>
      <c r="D755" t="s">
        <v>2</v>
      </c>
      <c r="E755" t="s">
        <v>0</v>
      </c>
      <c r="F755" s="5">
        <v>122352</v>
      </c>
      <c r="G755" s="5" t="str">
        <f>VLOOKUP(F755,'[1]46974159BCSET2026'!$F:$AE,26,0)</f>
        <v>Sim</v>
      </c>
      <c r="H755" t="s">
        <v>3</v>
      </c>
      <c r="I755" s="3">
        <v>46276</v>
      </c>
      <c r="J755" t="s">
        <v>4</v>
      </c>
      <c r="K755" t="s">
        <v>1054</v>
      </c>
      <c r="L755" t="s">
        <v>1055</v>
      </c>
      <c r="M755" s="8">
        <v>-9.14</v>
      </c>
      <c r="N755" t="s">
        <v>0</v>
      </c>
      <c r="O755" t="s">
        <v>7</v>
      </c>
      <c r="P755" t="s">
        <v>8</v>
      </c>
    </row>
    <row r="756" spans="1:16" ht="13.95" customHeight="1" x14ac:dyDescent="0.25">
      <c r="A756" s="2" t="s">
        <v>0</v>
      </c>
      <c r="B756" t="s">
        <v>1</v>
      </c>
      <c r="C756" s="3">
        <v>46276</v>
      </c>
      <c r="D756" t="s">
        <v>2</v>
      </c>
      <c r="E756" t="s">
        <v>0</v>
      </c>
      <c r="F756" s="5">
        <v>122402</v>
      </c>
      <c r="G756" s="5" t="str">
        <f>VLOOKUP(F756,'[1]46974159BCSET2026'!$F:$AE,26,0)</f>
        <v>Sim</v>
      </c>
      <c r="H756" t="s">
        <v>3</v>
      </c>
      <c r="I756" s="3">
        <v>46276</v>
      </c>
      <c r="J756" t="s">
        <v>4</v>
      </c>
      <c r="K756" t="s">
        <v>1056</v>
      </c>
      <c r="L756" t="s">
        <v>1057</v>
      </c>
      <c r="M756" s="8">
        <v>-8.57</v>
      </c>
      <c r="N756" t="s">
        <v>0</v>
      </c>
      <c r="O756" t="s">
        <v>7</v>
      </c>
      <c r="P756" t="s">
        <v>8</v>
      </c>
    </row>
    <row r="757" spans="1:16" ht="13.95" customHeight="1" x14ac:dyDescent="0.25">
      <c r="A757" s="2" t="s">
        <v>0</v>
      </c>
      <c r="B757" t="s">
        <v>1</v>
      </c>
      <c r="C757" s="3">
        <v>46276</v>
      </c>
      <c r="D757" t="s">
        <v>2</v>
      </c>
      <c r="E757" t="s">
        <v>0</v>
      </c>
      <c r="F757" s="5">
        <v>122768</v>
      </c>
      <c r="G757" s="5" t="str">
        <f>VLOOKUP(F757,'[1]46974159BCSET2026'!$F:$AE,26,0)</f>
        <v>Sim</v>
      </c>
      <c r="H757" t="s">
        <v>3</v>
      </c>
      <c r="I757" s="3">
        <v>46276</v>
      </c>
      <c r="J757" t="s">
        <v>4</v>
      </c>
      <c r="K757" t="s">
        <v>1058</v>
      </c>
      <c r="L757" t="s">
        <v>1059</v>
      </c>
      <c r="M757" s="8">
        <v>-8.11</v>
      </c>
      <c r="N757" t="s">
        <v>0</v>
      </c>
      <c r="O757" t="s">
        <v>7</v>
      </c>
      <c r="P757" t="s">
        <v>8</v>
      </c>
    </row>
    <row r="758" spans="1:16" ht="13.95" customHeight="1" x14ac:dyDescent="0.25">
      <c r="A758" s="2" t="s">
        <v>0</v>
      </c>
      <c r="B758" t="s">
        <v>1</v>
      </c>
      <c r="C758" s="3">
        <v>46276</v>
      </c>
      <c r="D758" t="s">
        <v>2</v>
      </c>
      <c r="E758" t="s">
        <v>0</v>
      </c>
      <c r="F758" s="5">
        <v>122422</v>
      </c>
      <c r="G758" s="5" t="str">
        <f>VLOOKUP(F758,'[1]46974159BCSET2026'!$F:$AE,26,0)</f>
        <v>Sim</v>
      </c>
      <c r="H758" t="s">
        <v>3</v>
      </c>
      <c r="I758" s="3">
        <v>46276</v>
      </c>
      <c r="J758" t="s">
        <v>4</v>
      </c>
      <c r="K758" t="s">
        <v>1060</v>
      </c>
      <c r="L758" t="s">
        <v>1061</v>
      </c>
      <c r="M758" s="8">
        <v>-8</v>
      </c>
      <c r="N758" t="s">
        <v>0</v>
      </c>
      <c r="O758" t="s">
        <v>7</v>
      </c>
      <c r="P758" t="s">
        <v>8</v>
      </c>
    </row>
    <row r="759" spans="1:16" ht="13.95" customHeight="1" x14ac:dyDescent="0.25">
      <c r="A759" s="2" t="s">
        <v>0</v>
      </c>
      <c r="B759" t="s">
        <v>1</v>
      </c>
      <c r="C759" s="3">
        <v>46276</v>
      </c>
      <c r="D759" t="s">
        <v>2</v>
      </c>
      <c r="E759" t="s">
        <v>0</v>
      </c>
      <c r="F759" s="5">
        <v>122688</v>
      </c>
      <c r="G759" s="5" t="str">
        <f>VLOOKUP(F759,'[1]46974159BCSET2026'!$F:$AE,26,0)</f>
        <v>Sim</v>
      </c>
      <c r="H759" t="s">
        <v>3</v>
      </c>
      <c r="I759" s="3">
        <v>46276</v>
      </c>
      <c r="J759" t="s">
        <v>4</v>
      </c>
      <c r="K759" t="s">
        <v>243</v>
      </c>
      <c r="L759" t="s">
        <v>244</v>
      </c>
      <c r="M759" s="8">
        <v>-7.83</v>
      </c>
      <c r="N759" t="s">
        <v>0</v>
      </c>
      <c r="O759" t="s">
        <v>7</v>
      </c>
      <c r="P759" t="s">
        <v>8</v>
      </c>
    </row>
    <row r="760" spans="1:16" ht="13.95" customHeight="1" x14ac:dyDescent="0.25">
      <c r="A760" s="2" t="s">
        <v>0</v>
      </c>
      <c r="B760" t="s">
        <v>1</v>
      </c>
      <c r="C760" s="3">
        <v>46276</v>
      </c>
      <c r="D760" t="s">
        <v>2</v>
      </c>
      <c r="E760" t="s">
        <v>0</v>
      </c>
      <c r="F760" s="5">
        <v>122475</v>
      </c>
      <c r="G760" s="5" t="str">
        <f>VLOOKUP(F760,'[1]46974159BCSET2026'!$F:$AE,26,0)</f>
        <v>Sim</v>
      </c>
      <c r="H760" t="s">
        <v>3</v>
      </c>
      <c r="I760" s="3">
        <v>46276</v>
      </c>
      <c r="J760" t="s">
        <v>4</v>
      </c>
      <c r="K760" t="s">
        <v>1062</v>
      </c>
      <c r="L760" t="s">
        <v>1063</v>
      </c>
      <c r="M760" s="8">
        <v>-7.16</v>
      </c>
      <c r="N760" t="s">
        <v>0</v>
      </c>
      <c r="O760" t="s">
        <v>7</v>
      </c>
      <c r="P760" t="s">
        <v>8</v>
      </c>
    </row>
    <row r="761" spans="1:16" ht="13.95" customHeight="1" x14ac:dyDescent="0.25">
      <c r="A761" s="2" t="s">
        <v>0</v>
      </c>
      <c r="B761" t="s">
        <v>1</v>
      </c>
      <c r="C761" s="3">
        <v>46276</v>
      </c>
      <c r="D761" t="s">
        <v>2</v>
      </c>
      <c r="E761" t="s">
        <v>0</v>
      </c>
      <c r="F761" s="5">
        <v>122375</v>
      </c>
      <c r="G761" s="5" t="str">
        <f>VLOOKUP(F761,'[1]46974159BCSET2026'!$F:$AE,26,0)</f>
        <v>Sim</v>
      </c>
      <c r="H761" t="s">
        <v>3</v>
      </c>
      <c r="I761" s="3">
        <v>46276</v>
      </c>
      <c r="J761" t="s">
        <v>4</v>
      </c>
      <c r="K761" t="s">
        <v>1064</v>
      </c>
      <c r="L761" t="s">
        <v>1065</v>
      </c>
      <c r="M761" s="8">
        <v>-7</v>
      </c>
      <c r="N761" t="s">
        <v>0</v>
      </c>
      <c r="O761" t="s">
        <v>7</v>
      </c>
      <c r="P761" t="s">
        <v>8</v>
      </c>
    </row>
    <row r="762" spans="1:16" ht="13.95" customHeight="1" x14ac:dyDescent="0.25">
      <c r="A762" s="2" t="s">
        <v>0</v>
      </c>
      <c r="B762" t="s">
        <v>1</v>
      </c>
      <c r="C762" s="3">
        <v>46276</v>
      </c>
      <c r="D762" t="s">
        <v>2</v>
      </c>
      <c r="E762" t="s">
        <v>0</v>
      </c>
      <c r="F762" s="5">
        <v>122405</v>
      </c>
      <c r="G762" s="5" t="str">
        <f>VLOOKUP(F762,'[1]46974159BCSET2026'!$F:$AE,26,0)</f>
        <v>Sim</v>
      </c>
      <c r="H762" t="s">
        <v>3</v>
      </c>
      <c r="I762" s="3">
        <v>46276</v>
      </c>
      <c r="J762" t="s">
        <v>4</v>
      </c>
      <c r="K762" t="s">
        <v>1066</v>
      </c>
      <c r="L762" t="s">
        <v>1067</v>
      </c>
      <c r="M762" s="8">
        <v>-6.46</v>
      </c>
      <c r="N762" t="s">
        <v>0</v>
      </c>
      <c r="O762" t="s">
        <v>7</v>
      </c>
      <c r="P762" t="s">
        <v>8</v>
      </c>
    </row>
    <row r="763" spans="1:16" ht="13.95" customHeight="1" x14ac:dyDescent="0.25">
      <c r="A763" s="2" t="s">
        <v>0</v>
      </c>
      <c r="B763" t="s">
        <v>1</v>
      </c>
      <c r="C763" s="3">
        <v>46276</v>
      </c>
      <c r="D763" t="s">
        <v>2</v>
      </c>
      <c r="E763" t="s">
        <v>0</v>
      </c>
      <c r="F763" s="5">
        <v>122357</v>
      </c>
      <c r="G763" s="5" t="str">
        <f>VLOOKUP(F763,'[1]46974159BCSET2026'!$F:$AE,26,0)</f>
        <v>Sim</v>
      </c>
      <c r="H763" t="s">
        <v>3</v>
      </c>
      <c r="I763" s="3">
        <v>46276</v>
      </c>
      <c r="J763" t="s">
        <v>4</v>
      </c>
      <c r="K763" t="s">
        <v>1068</v>
      </c>
      <c r="L763" t="s">
        <v>1069</v>
      </c>
      <c r="M763" s="8">
        <v>-6.29</v>
      </c>
      <c r="N763" t="s">
        <v>0</v>
      </c>
      <c r="O763" t="s">
        <v>7</v>
      </c>
      <c r="P763" t="s">
        <v>8</v>
      </c>
    </row>
    <row r="764" spans="1:16" ht="13.95" customHeight="1" x14ac:dyDescent="0.25">
      <c r="A764" s="2" t="s">
        <v>0</v>
      </c>
      <c r="B764" t="s">
        <v>1</v>
      </c>
      <c r="C764" s="3">
        <v>46276</v>
      </c>
      <c r="D764" t="s">
        <v>2</v>
      </c>
      <c r="E764" t="s">
        <v>0</v>
      </c>
      <c r="F764" s="5">
        <v>122455</v>
      </c>
      <c r="G764" s="5" t="str">
        <f>VLOOKUP(F764,'[1]46974159BCSET2026'!$F:$AE,26,0)</f>
        <v>Sim</v>
      </c>
      <c r="H764" t="s">
        <v>3</v>
      </c>
      <c r="I764" s="3">
        <v>46276</v>
      </c>
      <c r="J764" t="s">
        <v>4</v>
      </c>
      <c r="K764" t="s">
        <v>1070</v>
      </c>
      <c r="L764" t="s">
        <v>1071</v>
      </c>
      <c r="M764" s="8">
        <v>-6.29</v>
      </c>
      <c r="N764" t="s">
        <v>0</v>
      </c>
      <c r="O764" t="s">
        <v>7</v>
      </c>
      <c r="P764" t="s">
        <v>8</v>
      </c>
    </row>
    <row r="765" spans="1:16" ht="13.95" customHeight="1" x14ac:dyDescent="0.25">
      <c r="A765" s="2" t="s">
        <v>0</v>
      </c>
      <c r="B765" t="s">
        <v>1</v>
      </c>
      <c r="C765" s="3">
        <v>46276</v>
      </c>
      <c r="D765" t="s">
        <v>2</v>
      </c>
      <c r="E765" t="s">
        <v>0</v>
      </c>
      <c r="F765" s="5">
        <v>122783</v>
      </c>
      <c r="G765" s="5" t="str">
        <f>VLOOKUP(F765,'[1]46974159BCSET2026'!$F:$AE,26,0)</f>
        <v>Sim</v>
      </c>
      <c r="H765" t="s">
        <v>3</v>
      </c>
      <c r="I765" s="3">
        <v>46276</v>
      </c>
      <c r="J765" t="s">
        <v>4</v>
      </c>
      <c r="K765" t="s">
        <v>1072</v>
      </c>
      <c r="L765" t="s">
        <v>1073</v>
      </c>
      <c r="M765" s="8">
        <v>-5.71</v>
      </c>
      <c r="N765" t="s">
        <v>0</v>
      </c>
      <c r="O765" t="s">
        <v>7</v>
      </c>
      <c r="P765" t="s">
        <v>8</v>
      </c>
    </row>
    <row r="766" spans="1:16" ht="13.95" customHeight="1" x14ac:dyDescent="0.25">
      <c r="A766" s="2" t="s">
        <v>0</v>
      </c>
      <c r="B766" t="s">
        <v>1</v>
      </c>
      <c r="C766" s="3">
        <v>46276</v>
      </c>
      <c r="D766" t="s">
        <v>2</v>
      </c>
      <c r="E766" t="s">
        <v>0</v>
      </c>
      <c r="F766" s="5">
        <v>122388</v>
      </c>
      <c r="G766" s="5" t="str">
        <f>VLOOKUP(F766,'[1]46974159BCSET2026'!$F:$AE,26,0)</f>
        <v>Sim</v>
      </c>
      <c r="H766" t="s">
        <v>3</v>
      </c>
      <c r="I766" s="3">
        <v>46276</v>
      </c>
      <c r="J766" t="s">
        <v>4</v>
      </c>
      <c r="K766" t="s">
        <v>1074</v>
      </c>
      <c r="L766" t="s">
        <v>1075</v>
      </c>
      <c r="M766" s="8">
        <v>-5.29</v>
      </c>
      <c r="N766" t="s">
        <v>0</v>
      </c>
      <c r="O766" t="s">
        <v>7</v>
      </c>
      <c r="P766" t="s">
        <v>8</v>
      </c>
    </row>
    <row r="767" spans="1:16" ht="13.95" customHeight="1" x14ac:dyDescent="0.25">
      <c r="A767" s="2" t="s">
        <v>0</v>
      </c>
      <c r="B767" t="s">
        <v>1</v>
      </c>
      <c r="C767" s="3">
        <v>46276</v>
      </c>
      <c r="D767" t="s">
        <v>2</v>
      </c>
      <c r="E767" t="s">
        <v>0</v>
      </c>
      <c r="F767" s="5">
        <v>122389</v>
      </c>
      <c r="G767" s="5" t="str">
        <f>VLOOKUP(F767,'[1]46974159BCSET2026'!$F:$AE,26,0)</f>
        <v>Sim</v>
      </c>
      <c r="H767" t="s">
        <v>3</v>
      </c>
      <c r="I767" s="3">
        <v>46276</v>
      </c>
      <c r="J767" t="s">
        <v>4</v>
      </c>
      <c r="K767" t="s">
        <v>1076</v>
      </c>
      <c r="L767" t="s">
        <v>1077</v>
      </c>
      <c r="M767" s="8">
        <v>-5.29</v>
      </c>
      <c r="N767" t="s">
        <v>0</v>
      </c>
      <c r="O767" t="s">
        <v>7</v>
      </c>
      <c r="P767" t="s">
        <v>8</v>
      </c>
    </row>
    <row r="768" spans="1:16" ht="13.95" customHeight="1" x14ac:dyDescent="0.25">
      <c r="A768" s="2" t="s">
        <v>0</v>
      </c>
      <c r="B768" t="s">
        <v>1</v>
      </c>
      <c r="C768" s="3">
        <v>46276</v>
      </c>
      <c r="D768" t="s">
        <v>2</v>
      </c>
      <c r="E768" t="s">
        <v>0</v>
      </c>
      <c r="F768" s="5">
        <v>122390</v>
      </c>
      <c r="G768" s="5" t="str">
        <f>VLOOKUP(F768,'[1]46974159BCSET2026'!$F:$AE,26,0)</f>
        <v>Sim</v>
      </c>
      <c r="H768" t="s">
        <v>3</v>
      </c>
      <c r="I768" s="3">
        <v>46276</v>
      </c>
      <c r="J768" t="s">
        <v>4</v>
      </c>
      <c r="K768" t="s">
        <v>1078</v>
      </c>
      <c r="L768" t="s">
        <v>1079</v>
      </c>
      <c r="M768" s="8">
        <v>-5.29</v>
      </c>
      <c r="N768" t="s">
        <v>0</v>
      </c>
      <c r="O768" t="s">
        <v>7</v>
      </c>
      <c r="P768" t="s">
        <v>8</v>
      </c>
    </row>
    <row r="769" spans="1:16" ht="13.95" customHeight="1" x14ac:dyDescent="0.25">
      <c r="A769" s="2" t="s">
        <v>0</v>
      </c>
      <c r="B769" t="s">
        <v>1</v>
      </c>
      <c r="C769" s="3">
        <v>46276</v>
      </c>
      <c r="D769" t="s">
        <v>2</v>
      </c>
      <c r="E769" t="s">
        <v>0</v>
      </c>
      <c r="F769" s="5">
        <v>122394</v>
      </c>
      <c r="G769" s="5" t="str">
        <f>VLOOKUP(F769,'[1]46974159BCSET2026'!$F:$AE,26,0)</f>
        <v>Sim</v>
      </c>
      <c r="H769" t="s">
        <v>3</v>
      </c>
      <c r="I769" s="3">
        <v>46276</v>
      </c>
      <c r="J769" t="s">
        <v>4</v>
      </c>
      <c r="K769" t="s">
        <v>1080</v>
      </c>
      <c r="L769" t="s">
        <v>1081</v>
      </c>
      <c r="M769" s="8">
        <v>-5.29</v>
      </c>
      <c r="N769" t="s">
        <v>0</v>
      </c>
      <c r="O769" t="s">
        <v>7</v>
      </c>
      <c r="P769" t="s">
        <v>8</v>
      </c>
    </row>
    <row r="770" spans="1:16" ht="13.95" customHeight="1" x14ac:dyDescent="0.25">
      <c r="A770" s="2" t="s">
        <v>0</v>
      </c>
      <c r="B770" t="s">
        <v>1</v>
      </c>
      <c r="C770" s="3">
        <v>46276</v>
      </c>
      <c r="D770" t="s">
        <v>2</v>
      </c>
      <c r="E770" t="s">
        <v>0</v>
      </c>
      <c r="F770" s="5">
        <v>122380</v>
      </c>
      <c r="G770" s="5" t="str">
        <f>VLOOKUP(F770,'[1]46974159BCSET2026'!$F:$AE,26,0)</f>
        <v>Sim</v>
      </c>
      <c r="H770" t="s">
        <v>3</v>
      </c>
      <c r="I770" s="3">
        <v>46276</v>
      </c>
      <c r="J770" t="s">
        <v>4</v>
      </c>
      <c r="K770" t="s">
        <v>1082</v>
      </c>
      <c r="L770" t="s">
        <v>1083</v>
      </c>
      <c r="M770" s="8">
        <v>-5.26</v>
      </c>
      <c r="N770" t="s">
        <v>0</v>
      </c>
      <c r="O770" t="s">
        <v>7</v>
      </c>
      <c r="P770" t="s">
        <v>8</v>
      </c>
    </row>
    <row r="771" spans="1:16" ht="13.95" customHeight="1" x14ac:dyDescent="0.25">
      <c r="A771" s="2" t="s">
        <v>0</v>
      </c>
      <c r="B771" t="s">
        <v>1</v>
      </c>
      <c r="C771" s="3">
        <v>46276</v>
      </c>
      <c r="D771" t="s">
        <v>2</v>
      </c>
      <c r="E771" t="s">
        <v>0</v>
      </c>
      <c r="F771" s="5">
        <v>122381</v>
      </c>
      <c r="G771" s="5" t="str">
        <f>VLOOKUP(F771,'[1]46974159BCSET2026'!$F:$AE,26,0)</f>
        <v>Sim</v>
      </c>
      <c r="H771" t="s">
        <v>3</v>
      </c>
      <c r="I771" s="3">
        <v>46276</v>
      </c>
      <c r="J771" t="s">
        <v>4</v>
      </c>
      <c r="K771" t="s">
        <v>1084</v>
      </c>
      <c r="L771" t="s">
        <v>1085</v>
      </c>
      <c r="M771" s="8">
        <v>-5.26</v>
      </c>
      <c r="N771" t="s">
        <v>0</v>
      </c>
      <c r="O771" t="s">
        <v>7</v>
      </c>
      <c r="P771" t="s">
        <v>8</v>
      </c>
    </row>
    <row r="772" spans="1:16" ht="13.95" customHeight="1" x14ac:dyDescent="0.25">
      <c r="A772" s="2" t="s">
        <v>0</v>
      </c>
      <c r="B772" t="s">
        <v>1</v>
      </c>
      <c r="C772" s="3">
        <v>46276</v>
      </c>
      <c r="D772" t="s">
        <v>2</v>
      </c>
      <c r="E772" t="s">
        <v>0</v>
      </c>
      <c r="F772" s="5">
        <v>122775</v>
      </c>
      <c r="G772" s="5" t="str">
        <f>VLOOKUP(F772,'[1]46974159BCSET2026'!$F:$AE,26,0)</f>
        <v>Sim</v>
      </c>
      <c r="H772" t="s">
        <v>3</v>
      </c>
      <c r="I772" s="3">
        <v>46276</v>
      </c>
      <c r="J772" t="s">
        <v>4</v>
      </c>
      <c r="K772" t="s">
        <v>1086</v>
      </c>
      <c r="L772" t="s">
        <v>1087</v>
      </c>
      <c r="M772" s="8">
        <v>-5.24</v>
      </c>
      <c r="N772" t="s">
        <v>0</v>
      </c>
      <c r="O772" t="s">
        <v>7</v>
      </c>
      <c r="P772" t="s">
        <v>8</v>
      </c>
    </row>
    <row r="773" spans="1:16" ht="13.95" customHeight="1" x14ac:dyDescent="0.25">
      <c r="A773" s="2" t="s">
        <v>0</v>
      </c>
      <c r="B773" t="s">
        <v>1</v>
      </c>
      <c r="C773" s="3">
        <v>46276</v>
      </c>
      <c r="D773" t="s">
        <v>2</v>
      </c>
      <c r="E773" t="s">
        <v>0</v>
      </c>
      <c r="F773" s="5">
        <v>122776</v>
      </c>
      <c r="G773" s="5" t="str">
        <f>VLOOKUP(F773,'[1]46974159BCSET2026'!$F:$AE,26,0)</f>
        <v>Sim</v>
      </c>
      <c r="H773" t="s">
        <v>3</v>
      </c>
      <c r="I773" s="3">
        <v>46276</v>
      </c>
      <c r="J773" t="s">
        <v>4</v>
      </c>
      <c r="K773" t="s">
        <v>1088</v>
      </c>
      <c r="L773" t="s">
        <v>1089</v>
      </c>
      <c r="M773" s="8">
        <v>-5.24</v>
      </c>
      <c r="N773" t="s">
        <v>0</v>
      </c>
      <c r="O773" t="s">
        <v>7</v>
      </c>
      <c r="P773" t="s">
        <v>8</v>
      </c>
    </row>
    <row r="774" spans="1:16" ht="13.95" customHeight="1" x14ac:dyDescent="0.25">
      <c r="A774" s="2" t="s">
        <v>0</v>
      </c>
      <c r="B774" t="s">
        <v>1</v>
      </c>
      <c r="C774" s="3">
        <v>46276</v>
      </c>
      <c r="D774" t="s">
        <v>2</v>
      </c>
      <c r="E774" t="s">
        <v>0</v>
      </c>
      <c r="F774" s="5">
        <v>122395</v>
      </c>
      <c r="G774" s="5" t="str">
        <f>VLOOKUP(F774,'[1]46974159BCSET2026'!$F:$AE,26,0)</f>
        <v>Sim</v>
      </c>
      <c r="H774" t="s">
        <v>3</v>
      </c>
      <c r="I774" s="3">
        <v>46276</v>
      </c>
      <c r="J774" t="s">
        <v>4</v>
      </c>
      <c r="K774" t="s">
        <v>1090</v>
      </c>
      <c r="L774" t="s">
        <v>1091</v>
      </c>
      <c r="M774" s="8">
        <v>-5.24</v>
      </c>
      <c r="N774" t="s">
        <v>0</v>
      </c>
      <c r="O774" t="s">
        <v>7</v>
      </c>
      <c r="P774" t="s">
        <v>8</v>
      </c>
    </row>
    <row r="775" spans="1:16" ht="13.95" customHeight="1" x14ac:dyDescent="0.25">
      <c r="A775" s="2" t="s">
        <v>0</v>
      </c>
      <c r="B775" t="s">
        <v>1</v>
      </c>
      <c r="C775" s="3">
        <v>46276</v>
      </c>
      <c r="D775" t="s">
        <v>2</v>
      </c>
      <c r="E775" t="s">
        <v>0</v>
      </c>
      <c r="F775" s="5">
        <v>122396</v>
      </c>
      <c r="G775" s="5" t="str">
        <f>VLOOKUP(F775,'[1]46974159BCSET2026'!$F:$AE,26,0)</f>
        <v>Sim</v>
      </c>
      <c r="H775" t="s">
        <v>3</v>
      </c>
      <c r="I775" s="3">
        <v>46276</v>
      </c>
      <c r="J775" t="s">
        <v>4</v>
      </c>
      <c r="K775" t="s">
        <v>1092</v>
      </c>
      <c r="L775" t="s">
        <v>1093</v>
      </c>
      <c r="M775" s="8">
        <v>-5.24</v>
      </c>
      <c r="N775" t="s">
        <v>0</v>
      </c>
      <c r="O775" t="s">
        <v>7</v>
      </c>
      <c r="P775" t="s">
        <v>8</v>
      </c>
    </row>
    <row r="776" spans="1:16" ht="13.95" customHeight="1" x14ac:dyDescent="0.25">
      <c r="A776" s="2" t="s">
        <v>0</v>
      </c>
      <c r="B776" t="s">
        <v>1</v>
      </c>
      <c r="C776" s="3">
        <v>46276</v>
      </c>
      <c r="D776" t="s">
        <v>2</v>
      </c>
      <c r="E776" t="s">
        <v>0</v>
      </c>
      <c r="F776" s="5">
        <v>122397</v>
      </c>
      <c r="G776" s="5" t="str">
        <f>VLOOKUP(F776,'[1]46974159BCSET2026'!$F:$AE,26,0)</f>
        <v>Sim</v>
      </c>
      <c r="H776" t="s">
        <v>3</v>
      </c>
      <c r="I776" s="3">
        <v>46276</v>
      </c>
      <c r="J776" t="s">
        <v>4</v>
      </c>
      <c r="K776" t="s">
        <v>1094</v>
      </c>
      <c r="L776" t="s">
        <v>1095</v>
      </c>
      <c r="M776" s="8">
        <v>-5.24</v>
      </c>
      <c r="N776" t="s">
        <v>0</v>
      </c>
      <c r="O776" t="s">
        <v>7</v>
      </c>
      <c r="P776" t="s">
        <v>8</v>
      </c>
    </row>
    <row r="777" spans="1:16" ht="13.95" customHeight="1" x14ac:dyDescent="0.25">
      <c r="A777" s="2" t="s">
        <v>0</v>
      </c>
      <c r="B777" t="s">
        <v>1</v>
      </c>
      <c r="C777" s="3">
        <v>46276</v>
      </c>
      <c r="D777" t="s">
        <v>2</v>
      </c>
      <c r="E777" t="s">
        <v>0</v>
      </c>
      <c r="F777" s="5">
        <v>122597</v>
      </c>
      <c r="G777" s="5" t="str">
        <f>VLOOKUP(F777,'[1]46974159BCSET2026'!$F:$AE,26,0)</f>
        <v>Sim</v>
      </c>
      <c r="H777" t="s">
        <v>3</v>
      </c>
      <c r="I777" s="3">
        <v>46276</v>
      </c>
      <c r="J777" t="s">
        <v>4</v>
      </c>
      <c r="K777" t="s">
        <v>1096</v>
      </c>
      <c r="L777" t="s">
        <v>1097</v>
      </c>
      <c r="M777" s="8">
        <v>-5.24</v>
      </c>
      <c r="N777" t="s">
        <v>0</v>
      </c>
      <c r="O777" t="s">
        <v>7</v>
      </c>
      <c r="P777" t="s">
        <v>8</v>
      </c>
    </row>
    <row r="778" spans="1:16" ht="13.95" customHeight="1" x14ac:dyDescent="0.25">
      <c r="A778" s="2" t="s">
        <v>0</v>
      </c>
      <c r="B778" t="s">
        <v>1</v>
      </c>
      <c r="C778" s="3">
        <v>46276</v>
      </c>
      <c r="D778" t="s">
        <v>2</v>
      </c>
      <c r="E778" t="s">
        <v>0</v>
      </c>
      <c r="F778" s="5">
        <v>122399</v>
      </c>
      <c r="G778" s="5" t="str">
        <f>VLOOKUP(F778,'[1]46974159BCSET2026'!$F:$AE,26,0)</f>
        <v>Sim</v>
      </c>
      <c r="H778" t="s">
        <v>3</v>
      </c>
      <c r="I778" s="3">
        <v>46276</v>
      </c>
      <c r="J778" t="s">
        <v>4</v>
      </c>
      <c r="K778" t="s">
        <v>1098</v>
      </c>
      <c r="L778" t="s">
        <v>1099</v>
      </c>
      <c r="M778" s="8">
        <v>-5.24</v>
      </c>
      <c r="N778" t="s">
        <v>0</v>
      </c>
      <c r="O778" t="s">
        <v>7</v>
      </c>
      <c r="P778" t="s">
        <v>8</v>
      </c>
    </row>
    <row r="779" spans="1:16" ht="13.95" customHeight="1" x14ac:dyDescent="0.25">
      <c r="A779" s="2" t="s">
        <v>0</v>
      </c>
      <c r="B779" t="s">
        <v>1</v>
      </c>
      <c r="C779" s="3">
        <v>46276</v>
      </c>
      <c r="D779" t="s">
        <v>2</v>
      </c>
      <c r="E779" t="s">
        <v>0</v>
      </c>
      <c r="F779" s="5">
        <v>122400</v>
      </c>
      <c r="G779" s="5" t="str">
        <f>VLOOKUP(F779,'[1]46974159BCSET2026'!$F:$AE,26,0)</f>
        <v>Sim</v>
      </c>
      <c r="H779" t="s">
        <v>3</v>
      </c>
      <c r="I779" s="3">
        <v>46276</v>
      </c>
      <c r="J779" t="s">
        <v>4</v>
      </c>
      <c r="K779" t="s">
        <v>1100</v>
      </c>
      <c r="L779" t="s">
        <v>1101</v>
      </c>
      <c r="M779" s="8">
        <v>-5.24</v>
      </c>
      <c r="N779" t="s">
        <v>0</v>
      </c>
      <c r="O779" t="s">
        <v>7</v>
      </c>
      <c r="P779" t="s">
        <v>8</v>
      </c>
    </row>
    <row r="780" spans="1:16" ht="13.95" customHeight="1" x14ac:dyDescent="0.25">
      <c r="A780" s="2" t="s">
        <v>0</v>
      </c>
      <c r="B780" t="s">
        <v>1</v>
      </c>
      <c r="C780" s="3">
        <v>46276</v>
      </c>
      <c r="D780" t="s">
        <v>2</v>
      </c>
      <c r="E780" t="s">
        <v>0</v>
      </c>
      <c r="F780" s="5">
        <v>122778</v>
      </c>
      <c r="G780" s="5" t="str">
        <f>VLOOKUP(F780,'[1]46974159BCSET2026'!$F:$AE,26,0)</f>
        <v>Sim</v>
      </c>
      <c r="H780" t="s">
        <v>3</v>
      </c>
      <c r="I780" s="3">
        <v>46276</v>
      </c>
      <c r="J780" t="s">
        <v>4</v>
      </c>
      <c r="K780" t="s">
        <v>1102</v>
      </c>
      <c r="L780" t="s">
        <v>1103</v>
      </c>
      <c r="M780" s="8">
        <v>-5.24</v>
      </c>
      <c r="N780" t="s">
        <v>0</v>
      </c>
      <c r="O780" t="s">
        <v>7</v>
      </c>
      <c r="P780" t="s">
        <v>8</v>
      </c>
    </row>
    <row r="781" spans="1:16" ht="13.95" customHeight="1" x14ac:dyDescent="0.25">
      <c r="A781" s="2" t="s">
        <v>0</v>
      </c>
      <c r="B781" t="s">
        <v>1</v>
      </c>
      <c r="C781" s="3">
        <v>46276</v>
      </c>
      <c r="D781" t="s">
        <v>2</v>
      </c>
      <c r="E781" t="s">
        <v>0</v>
      </c>
      <c r="F781" s="5">
        <v>122365</v>
      </c>
      <c r="G781" s="5" t="str">
        <f>VLOOKUP(F781,'[1]46974159BCSET2026'!$F:$AE,26,0)</f>
        <v>Sim</v>
      </c>
      <c r="H781" t="s">
        <v>3</v>
      </c>
      <c r="I781" s="3">
        <v>46276</v>
      </c>
      <c r="J781" t="s">
        <v>4</v>
      </c>
      <c r="K781" t="s">
        <v>1104</v>
      </c>
      <c r="L781" t="s">
        <v>1105</v>
      </c>
      <c r="M781" s="8">
        <v>-5.21</v>
      </c>
      <c r="N781" t="s">
        <v>0</v>
      </c>
      <c r="O781" t="s">
        <v>7</v>
      </c>
      <c r="P781" t="s">
        <v>8</v>
      </c>
    </row>
    <row r="782" spans="1:16" ht="13.95" customHeight="1" x14ac:dyDescent="0.25">
      <c r="A782" s="2" t="s">
        <v>0</v>
      </c>
      <c r="B782" t="s">
        <v>1</v>
      </c>
      <c r="C782" s="3">
        <v>46276</v>
      </c>
      <c r="D782" t="s">
        <v>2</v>
      </c>
      <c r="E782" t="s">
        <v>0</v>
      </c>
      <c r="F782" s="5">
        <v>122366</v>
      </c>
      <c r="G782" s="5" t="str">
        <f>VLOOKUP(F782,'[1]46974159BCSET2026'!$F:$AE,26,0)</f>
        <v>Sim</v>
      </c>
      <c r="H782" t="s">
        <v>3</v>
      </c>
      <c r="I782" s="3">
        <v>46276</v>
      </c>
      <c r="J782" t="s">
        <v>4</v>
      </c>
      <c r="K782" t="s">
        <v>1106</v>
      </c>
      <c r="L782" t="s">
        <v>1107</v>
      </c>
      <c r="M782" s="8">
        <v>-5.21</v>
      </c>
      <c r="N782" t="s">
        <v>0</v>
      </c>
      <c r="O782" t="s">
        <v>7</v>
      </c>
      <c r="P782" t="s">
        <v>8</v>
      </c>
    </row>
    <row r="783" spans="1:16" ht="13.95" customHeight="1" x14ac:dyDescent="0.25">
      <c r="A783" s="2" t="s">
        <v>0</v>
      </c>
      <c r="B783" t="s">
        <v>1</v>
      </c>
      <c r="C783" s="3">
        <v>46276</v>
      </c>
      <c r="D783" t="s">
        <v>2</v>
      </c>
      <c r="E783" t="s">
        <v>0</v>
      </c>
      <c r="F783" s="5">
        <v>122587</v>
      </c>
      <c r="G783" s="5" t="str">
        <f>VLOOKUP(F783,'[1]46974159BCSET2026'!$F:$AE,26,0)</f>
        <v>Sim</v>
      </c>
      <c r="H783" t="s">
        <v>3</v>
      </c>
      <c r="I783" s="3">
        <v>46276</v>
      </c>
      <c r="J783" t="s">
        <v>4</v>
      </c>
      <c r="K783" t="s">
        <v>1108</v>
      </c>
      <c r="L783" t="s">
        <v>1109</v>
      </c>
      <c r="M783" s="8">
        <v>-5.21</v>
      </c>
      <c r="N783" t="s">
        <v>0</v>
      </c>
      <c r="O783" t="s">
        <v>7</v>
      </c>
      <c r="P783" t="s">
        <v>8</v>
      </c>
    </row>
    <row r="784" spans="1:16" ht="13.95" customHeight="1" x14ac:dyDescent="0.25">
      <c r="A784" s="2" t="s">
        <v>0</v>
      </c>
      <c r="B784" t="s">
        <v>1</v>
      </c>
      <c r="C784" s="3">
        <v>46276</v>
      </c>
      <c r="D784" t="s">
        <v>2</v>
      </c>
      <c r="E784" t="s">
        <v>0</v>
      </c>
      <c r="F784" s="5">
        <v>122371</v>
      </c>
      <c r="G784" s="5" t="str">
        <f>VLOOKUP(F784,'[1]46974159BCSET2026'!$F:$AE,26,0)</f>
        <v>Sim</v>
      </c>
      <c r="H784" t="s">
        <v>3</v>
      </c>
      <c r="I784" s="3">
        <v>46276</v>
      </c>
      <c r="J784" t="s">
        <v>4</v>
      </c>
      <c r="K784" t="s">
        <v>1110</v>
      </c>
      <c r="L784" t="s">
        <v>1111</v>
      </c>
      <c r="M784" s="8">
        <v>-5.21</v>
      </c>
      <c r="N784" t="s">
        <v>0</v>
      </c>
      <c r="O784" t="s">
        <v>7</v>
      </c>
      <c r="P784" t="s">
        <v>8</v>
      </c>
    </row>
    <row r="785" spans="1:16" ht="13.95" customHeight="1" x14ac:dyDescent="0.25">
      <c r="A785" s="2" t="s">
        <v>0</v>
      </c>
      <c r="B785" t="s">
        <v>1</v>
      </c>
      <c r="C785" s="3">
        <v>46276</v>
      </c>
      <c r="D785" t="s">
        <v>2</v>
      </c>
      <c r="E785" t="s">
        <v>0</v>
      </c>
      <c r="F785" s="5">
        <v>122769</v>
      </c>
      <c r="G785" s="5" t="str">
        <f>VLOOKUP(F785,'[1]46974159BCSET2026'!$F:$AE,26,0)</f>
        <v>Sim</v>
      </c>
      <c r="H785" t="s">
        <v>3</v>
      </c>
      <c r="I785" s="3">
        <v>46276</v>
      </c>
      <c r="J785" t="s">
        <v>4</v>
      </c>
      <c r="K785" t="s">
        <v>1112</v>
      </c>
      <c r="L785" t="s">
        <v>1113</v>
      </c>
      <c r="M785" s="8">
        <v>-5.21</v>
      </c>
      <c r="N785" t="s">
        <v>0</v>
      </c>
      <c r="O785" t="s">
        <v>7</v>
      </c>
      <c r="P785" t="s">
        <v>8</v>
      </c>
    </row>
    <row r="786" spans="1:16" ht="13.95" customHeight="1" x14ac:dyDescent="0.25">
      <c r="A786" s="2" t="s">
        <v>0</v>
      </c>
      <c r="B786" t="s">
        <v>1</v>
      </c>
      <c r="C786" s="3">
        <v>46276</v>
      </c>
      <c r="D786" t="s">
        <v>2</v>
      </c>
      <c r="E786" t="s">
        <v>0</v>
      </c>
      <c r="F786" s="5">
        <v>122374</v>
      </c>
      <c r="G786" s="5" t="str">
        <f>VLOOKUP(F786,'[1]46974159BCSET2026'!$F:$AE,26,0)</f>
        <v>Sim</v>
      </c>
      <c r="H786" t="s">
        <v>3</v>
      </c>
      <c r="I786" s="3">
        <v>46276</v>
      </c>
      <c r="J786" t="s">
        <v>4</v>
      </c>
      <c r="K786" t="s">
        <v>1114</v>
      </c>
      <c r="L786" t="s">
        <v>1115</v>
      </c>
      <c r="M786" s="8">
        <v>-5.21</v>
      </c>
      <c r="N786" t="s">
        <v>0</v>
      </c>
      <c r="O786" t="s">
        <v>7</v>
      </c>
      <c r="P786" t="s">
        <v>8</v>
      </c>
    </row>
    <row r="787" spans="1:16" ht="13.95" customHeight="1" x14ac:dyDescent="0.25">
      <c r="A787" s="2" t="s">
        <v>0</v>
      </c>
      <c r="B787" t="s">
        <v>1</v>
      </c>
      <c r="C787" s="3">
        <v>46276</v>
      </c>
      <c r="D787" t="s">
        <v>2</v>
      </c>
      <c r="E787" t="s">
        <v>0</v>
      </c>
      <c r="F787" s="5">
        <v>122378</v>
      </c>
      <c r="G787" s="5" t="str">
        <f>VLOOKUP(F787,'[1]46974159BCSET2026'!$F:$AE,26,0)</f>
        <v>Sim</v>
      </c>
      <c r="H787" t="s">
        <v>3</v>
      </c>
      <c r="I787" s="3">
        <v>46276</v>
      </c>
      <c r="J787" t="s">
        <v>4</v>
      </c>
      <c r="K787" t="s">
        <v>1116</v>
      </c>
      <c r="L787" t="s">
        <v>1117</v>
      </c>
      <c r="M787" s="8">
        <v>-5.21</v>
      </c>
      <c r="N787" t="s">
        <v>0</v>
      </c>
      <c r="O787" t="s">
        <v>7</v>
      </c>
      <c r="P787" t="s">
        <v>8</v>
      </c>
    </row>
    <row r="788" spans="1:16" ht="13.95" customHeight="1" x14ac:dyDescent="0.25">
      <c r="A788" s="2" t="s">
        <v>0</v>
      </c>
      <c r="B788" t="s">
        <v>1</v>
      </c>
      <c r="C788" s="3">
        <v>46276</v>
      </c>
      <c r="D788" t="s">
        <v>2</v>
      </c>
      <c r="E788" t="s">
        <v>0</v>
      </c>
      <c r="F788" s="5">
        <v>122379</v>
      </c>
      <c r="G788" s="5" t="str">
        <f>VLOOKUP(F788,'[1]46974159BCSET2026'!$F:$AE,26,0)</f>
        <v>Sim</v>
      </c>
      <c r="H788" t="s">
        <v>3</v>
      </c>
      <c r="I788" s="3">
        <v>46276</v>
      </c>
      <c r="J788" t="s">
        <v>4</v>
      </c>
      <c r="K788" t="s">
        <v>1118</v>
      </c>
      <c r="L788" t="s">
        <v>1119</v>
      </c>
      <c r="M788" s="8">
        <v>-5.21</v>
      </c>
      <c r="N788" t="s">
        <v>0</v>
      </c>
      <c r="O788" t="s">
        <v>7</v>
      </c>
      <c r="P788" t="s">
        <v>8</v>
      </c>
    </row>
    <row r="789" spans="1:16" ht="13.95" customHeight="1" x14ac:dyDescent="0.25">
      <c r="A789" s="2" t="s">
        <v>0</v>
      </c>
      <c r="B789" t="s">
        <v>1</v>
      </c>
      <c r="C789" s="3">
        <v>46276</v>
      </c>
      <c r="D789" t="s">
        <v>2</v>
      </c>
      <c r="E789" t="s">
        <v>0</v>
      </c>
      <c r="F789" s="5">
        <v>122385</v>
      </c>
      <c r="G789" s="5" t="str">
        <f>VLOOKUP(F789,'[1]46974159BCSET2026'!$F:$AE,26,0)</f>
        <v>Sim</v>
      </c>
      <c r="H789" t="s">
        <v>3</v>
      </c>
      <c r="I789" s="3">
        <v>46276</v>
      </c>
      <c r="J789" t="s">
        <v>4</v>
      </c>
      <c r="K789" t="s">
        <v>1120</v>
      </c>
      <c r="L789" t="s">
        <v>1121</v>
      </c>
      <c r="M789" s="8">
        <v>-5.21</v>
      </c>
      <c r="N789" t="s">
        <v>0</v>
      </c>
      <c r="O789" t="s">
        <v>7</v>
      </c>
      <c r="P789" t="s">
        <v>8</v>
      </c>
    </row>
    <row r="790" spans="1:16" ht="13.95" customHeight="1" x14ac:dyDescent="0.25">
      <c r="A790" s="2" t="s">
        <v>0</v>
      </c>
      <c r="B790" t="s">
        <v>1</v>
      </c>
      <c r="C790" s="3">
        <v>46276</v>
      </c>
      <c r="D790" t="s">
        <v>2</v>
      </c>
      <c r="E790" t="s">
        <v>0</v>
      </c>
      <c r="F790" s="5">
        <v>122593</v>
      </c>
      <c r="G790" s="5" t="str">
        <f>VLOOKUP(F790,'[1]46974159BCSET2026'!$F:$AE,26,0)</f>
        <v>Sim</v>
      </c>
      <c r="H790" t="s">
        <v>3</v>
      </c>
      <c r="I790" s="3">
        <v>46276</v>
      </c>
      <c r="J790" t="s">
        <v>4</v>
      </c>
      <c r="K790" t="s">
        <v>1122</v>
      </c>
      <c r="L790" t="s">
        <v>1123</v>
      </c>
      <c r="M790" s="8">
        <v>-5.21</v>
      </c>
      <c r="N790" t="s">
        <v>0</v>
      </c>
      <c r="O790" t="s">
        <v>7</v>
      </c>
      <c r="P790" t="s">
        <v>8</v>
      </c>
    </row>
    <row r="791" spans="1:16" ht="13.95" customHeight="1" x14ac:dyDescent="0.25">
      <c r="A791" s="2" t="s">
        <v>0</v>
      </c>
      <c r="B791" t="s">
        <v>1</v>
      </c>
      <c r="C791" s="3">
        <v>46276</v>
      </c>
      <c r="D791" t="s">
        <v>2</v>
      </c>
      <c r="E791" t="s">
        <v>0</v>
      </c>
      <c r="F791" s="5">
        <v>122675</v>
      </c>
      <c r="G791" s="5" t="str">
        <f>VLOOKUP(F791,'[1]46974159BCSET2026'!$F:$AE,26,0)</f>
        <v>Sim</v>
      </c>
      <c r="H791" t="s">
        <v>3</v>
      </c>
      <c r="I791" s="3">
        <v>46276</v>
      </c>
      <c r="J791" t="s">
        <v>4</v>
      </c>
      <c r="K791" t="s">
        <v>826</v>
      </c>
      <c r="L791" t="s">
        <v>827</v>
      </c>
      <c r="M791" s="8">
        <v>-5.2</v>
      </c>
      <c r="N791" t="s">
        <v>0</v>
      </c>
      <c r="O791" t="s">
        <v>7</v>
      </c>
      <c r="P791" t="s">
        <v>8</v>
      </c>
    </row>
    <row r="792" spans="1:16" ht="13.95" customHeight="1" x14ac:dyDescent="0.25">
      <c r="A792" s="2" t="s">
        <v>0</v>
      </c>
      <c r="B792" t="s">
        <v>1</v>
      </c>
      <c r="C792" s="3">
        <v>46276</v>
      </c>
      <c r="D792" t="s">
        <v>2</v>
      </c>
      <c r="E792" t="s">
        <v>0</v>
      </c>
      <c r="F792" s="5">
        <v>122360</v>
      </c>
      <c r="G792" s="5" t="str">
        <f>VLOOKUP(F792,'[1]46974159BCSET2026'!$F:$AE,26,0)</f>
        <v>Sim</v>
      </c>
      <c r="H792" t="s">
        <v>3</v>
      </c>
      <c r="I792" s="3">
        <v>46276</v>
      </c>
      <c r="J792" t="s">
        <v>4</v>
      </c>
      <c r="K792" t="s">
        <v>1124</v>
      </c>
      <c r="L792" t="s">
        <v>1125</v>
      </c>
      <c r="M792" s="8">
        <v>-5.19</v>
      </c>
      <c r="N792" t="s">
        <v>0</v>
      </c>
      <c r="O792" t="s">
        <v>7</v>
      </c>
      <c r="P792" t="s">
        <v>8</v>
      </c>
    </row>
    <row r="793" spans="1:16" ht="13.95" customHeight="1" x14ac:dyDescent="0.25">
      <c r="A793" s="2" t="s">
        <v>0</v>
      </c>
      <c r="B793" t="s">
        <v>1</v>
      </c>
      <c r="C793" s="3">
        <v>46276</v>
      </c>
      <c r="D793" t="s">
        <v>2</v>
      </c>
      <c r="E793" t="s">
        <v>0</v>
      </c>
      <c r="F793" s="5">
        <v>122580</v>
      </c>
      <c r="G793" s="5" t="str">
        <f>VLOOKUP(F793,'[1]46974159BCSET2026'!$F:$AE,26,0)</f>
        <v>Sim</v>
      </c>
      <c r="H793" t="s">
        <v>3</v>
      </c>
      <c r="I793" s="3">
        <v>46276</v>
      </c>
      <c r="J793" t="s">
        <v>4</v>
      </c>
      <c r="K793" t="s">
        <v>1126</v>
      </c>
      <c r="L793" t="s">
        <v>1127</v>
      </c>
      <c r="M793" s="8">
        <v>-5.17</v>
      </c>
      <c r="N793" t="s">
        <v>0</v>
      </c>
      <c r="O793" t="s">
        <v>7</v>
      </c>
      <c r="P793" t="s">
        <v>8</v>
      </c>
    </row>
    <row r="794" spans="1:16" ht="13.95" customHeight="1" x14ac:dyDescent="0.25">
      <c r="A794" s="2" t="s">
        <v>0</v>
      </c>
      <c r="B794" t="s">
        <v>1</v>
      </c>
      <c r="C794" s="3">
        <v>46276</v>
      </c>
      <c r="D794" t="s">
        <v>2</v>
      </c>
      <c r="E794" t="s">
        <v>0</v>
      </c>
      <c r="F794" s="5">
        <v>122759</v>
      </c>
      <c r="G794" s="5" t="str">
        <f>VLOOKUP(F794,'[1]46974159BCSET2026'!$F:$AE,26,0)</f>
        <v>Sim</v>
      </c>
      <c r="H794" t="s">
        <v>3</v>
      </c>
      <c r="I794" s="3">
        <v>46276</v>
      </c>
      <c r="J794" t="s">
        <v>4</v>
      </c>
      <c r="K794" t="s">
        <v>1128</v>
      </c>
      <c r="L794" t="s">
        <v>1129</v>
      </c>
      <c r="M794" s="8">
        <v>-5.17</v>
      </c>
      <c r="N794" t="s">
        <v>0</v>
      </c>
      <c r="O794" t="s">
        <v>7</v>
      </c>
      <c r="P794" t="s">
        <v>8</v>
      </c>
    </row>
    <row r="795" spans="1:16" ht="13.95" customHeight="1" x14ac:dyDescent="0.25">
      <c r="A795" s="2" t="s">
        <v>0</v>
      </c>
      <c r="B795" t="s">
        <v>1</v>
      </c>
      <c r="C795" s="3">
        <v>46276</v>
      </c>
      <c r="D795" t="s">
        <v>2</v>
      </c>
      <c r="E795" t="s">
        <v>0</v>
      </c>
      <c r="F795" s="5">
        <v>122760</v>
      </c>
      <c r="G795" s="5" t="str">
        <f>VLOOKUP(F795,'[1]46974159BCSET2026'!$F:$AE,26,0)</f>
        <v>Sim</v>
      </c>
      <c r="H795" t="s">
        <v>3</v>
      </c>
      <c r="I795" s="3">
        <v>46276</v>
      </c>
      <c r="J795" t="s">
        <v>4</v>
      </c>
      <c r="K795" t="s">
        <v>1130</v>
      </c>
      <c r="L795" t="s">
        <v>1131</v>
      </c>
      <c r="M795" s="8">
        <v>-5.17</v>
      </c>
      <c r="N795" t="s">
        <v>0</v>
      </c>
      <c r="O795" t="s">
        <v>7</v>
      </c>
      <c r="P795" t="s">
        <v>8</v>
      </c>
    </row>
    <row r="796" spans="1:16" ht="13.95" customHeight="1" x14ac:dyDescent="0.25">
      <c r="A796" s="2" t="s">
        <v>0</v>
      </c>
      <c r="B796" t="s">
        <v>1</v>
      </c>
      <c r="C796" s="3">
        <v>46276</v>
      </c>
      <c r="D796" t="s">
        <v>2</v>
      </c>
      <c r="E796" t="s">
        <v>0</v>
      </c>
      <c r="F796" s="5">
        <v>122761</v>
      </c>
      <c r="G796" s="5" t="str">
        <f>VLOOKUP(F796,'[1]46974159BCSET2026'!$F:$AE,26,0)</f>
        <v>Sim</v>
      </c>
      <c r="H796" t="s">
        <v>3</v>
      </c>
      <c r="I796" s="3">
        <v>46276</v>
      </c>
      <c r="J796" t="s">
        <v>4</v>
      </c>
      <c r="K796" t="s">
        <v>1132</v>
      </c>
      <c r="L796" t="s">
        <v>1133</v>
      </c>
      <c r="M796" s="8">
        <v>-5.17</v>
      </c>
      <c r="N796" t="s">
        <v>0</v>
      </c>
      <c r="O796" t="s">
        <v>7</v>
      </c>
      <c r="P796" t="s">
        <v>8</v>
      </c>
    </row>
    <row r="797" spans="1:16" ht="13.95" customHeight="1" x14ac:dyDescent="0.25">
      <c r="A797" s="2" t="s">
        <v>0</v>
      </c>
      <c r="B797" t="s">
        <v>1</v>
      </c>
      <c r="C797" s="3">
        <v>46276</v>
      </c>
      <c r="D797" t="s">
        <v>2</v>
      </c>
      <c r="E797" t="s">
        <v>0</v>
      </c>
      <c r="F797" s="5">
        <v>122762</v>
      </c>
      <c r="G797" s="5" t="str">
        <f>VLOOKUP(F797,'[1]46974159BCSET2026'!$F:$AE,26,0)</f>
        <v>Sim</v>
      </c>
      <c r="H797" t="s">
        <v>3</v>
      </c>
      <c r="I797" s="3">
        <v>46276</v>
      </c>
      <c r="J797" t="s">
        <v>4</v>
      </c>
      <c r="K797" t="s">
        <v>1134</v>
      </c>
      <c r="L797" t="s">
        <v>1135</v>
      </c>
      <c r="M797" s="8">
        <v>-5.17</v>
      </c>
      <c r="N797" t="s">
        <v>0</v>
      </c>
      <c r="O797" t="s">
        <v>7</v>
      </c>
      <c r="P797" t="s">
        <v>8</v>
      </c>
    </row>
    <row r="798" spans="1:16" ht="13.95" customHeight="1" x14ac:dyDescent="0.25">
      <c r="A798" s="2" t="s">
        <v>0</v>
      </c>
      <c r="B798" t="s">
        <v>1</v>
      </c>
      <c r="C798" s="3">
        <v>46276</v>
      </c>
      <c r="D798" t="s">
        <v>2</v>
      </c>
      <c r="E798" t="s">
        <v>0</v>
      </c>
      <c r="F798" s="5">
        <v>122763</v>
      </c>
      <c r="G798" s="5" t="str">
        <f>VLOOKUP(F798,'[1]46974159BCSET2026'!$F:$AE,26,0)</f>
        <v>Sim</v>
      </c>
      <c r="H798" t="s">
        <v>3</v>
      </c>
      <c r="I798" s="3">
        <v>46276</v>
      </c>
      <c r="J798" t="s">
        <v>4</v>
      </c>
      <c r="K798" t="s">
        <v>1136</v>
      </c>
      <c r="L798" t="s">
        <v>1137</v>
      </c>
      <c r="M798" s="8">
        <v>-5.17</v>
      </c>
      <c r="N798" t="s">
        <v>0</v>
      </c>
      <c r="O798" t="s">
        <v>7</v>
      </c>
      <c r="P798" t="s">
        <v>8</v>
      </c>
    </row>
    <row r="799" spans="1:16" ht="13.95" customHeight="1" x14ac:dyDescent="0.25">
      <c r="A799" s="2" t="s">
        <v>0</v>
      </c>
      <c r="B799" t="s">
        <v>1</v>
      </c>
      <c r="C799" s="3">
        <v>46276</v>
      </c>
      <c r="D799" t="s">
        <v>2</v>
      </c>
      <c r="E799" t="s">
        <v>0</v>
      </c>
      <c r="F799" s="5">
        <v>122581</v>
      </c>
      <c r="G799" s="5" t="str">
        <f>VLOOKUP(F799,'[1]46974159BCSET2026'!$F:$AE,26,0)</f>
        <v>Sim</v>
      </c>
      <c r="H799" t="s">
        <v>3</v>
      </c>
      <c r="I799" s="3">
        <v>46276</v>
      </c>
      <c r="J799" t="s">
        <v>4</v>
      </c>
      <c r="K799" t="s">
        <v>1138</v>
      </c>
      <c r="L799" t="s">
        <v>1139</v>
      </c>
      <c r="M799" s="8">
        <v>-5.17</v>
      </c>
      <c r="N799" t="s">
        <v>0</v>
      </c>
      <c r="O799" t="s">
        <v>7</v>
      </c>
      <c r="P799" t="s">
        <v>8</v>
      </c>
    </row>
    <row r="800" spans="1:16" ht="13.95" customHeight="1" x14ac:dyDescent="0.25">
      <c r="A800" s="2" t="s">
        <v>0</v>
      </c>
      <c r="B800" t="s">
        <v>1</v>
      </c>
      <c r="C800" s="3">
        <v>46276</v>
      </c>
      <c r="D800" t="s">
        <v>2</v>
      </c>
      <c r="E800" t="s">
        <v>0</v>
      </c>
      <c r="F800" s="5">
        <v>122582</v>
      </c>
      <c r="G800" s="5" t="str">
        <f>VLOOKUP(F800,'[1]46974159BCSET2026'!$F:$AE,26,0)</f>
        <v>Sim</v>
      </c>
      <c r="H800" t="s">
        <v>3</v>
      </c>
      <c r="I800" s="3">
        <v>46276</v>
      </c>
      <c r="J800" t="s">
        <v>4</v>
      </c>
      <c r="K800" t="s">
        <v>1140</v>
      </c>
      <c r="L800" t="s">
        <v>1141</v>
      </c>
      <c r="M800" s="8">
        <v>-5.17</v>
      </c>
      <c r="N800" t="s">
        <v>0</v>
      </c>
      <c r="O800" t="s">
        <v>7</v>
      </c>
      <c r="P800" t="s">
        <v>8</v>
      </c>
    </row>
    <row r="801" spans="1:16" ht="13.95" customHeight="1" x14ac:dyDescent="0.25">
      <c r="A801" s="2" t="s">
        <v>0</v>
      </c>
      <c r="B801" t="s">
        <v>1</v>
      </c>
      <c r="C801" s="3">
        <v>46276</v>
      </c>
      <c r="D801" t="s">
        <v>2</v>
      </c>
      <c r="E801" t="s">
        <v>0</v>
      </c>
      <c r="F801" s="5">
        <v>122583</v>
      </c>
      <c r="G801" s="5" t="str">
        <f>VLOOKUP(F801,'[1]46974159BCSET2026'!$F:$AE,26,0)</f>
        <v>Sim</v>
      </c>
      <c r="H801" t="s">
        <v>3</v>
      </c>
      <c r="I801" s="3">
        <v>46276</v>
      </c>
      <c r="J801" t="s">
        <v>4</v>
      </c>
      <c r="K801" t="s">
        <v>1142</v>
      </c>
      <c r="L801" t="s">
        <v>1143</v>
      </c>
      <c r="M801" s="8">
        <v>-5.17</v>
      </c>
      <c r="N801" t="s">
        <v>0</v>
      </c>
      <c r="O801" t="s">
        <v>7</v>
      </c>
      <c r="P801" t="s">
        <v>8</v>
      </c>
    </row>
    <row r="802" spans="1:16" ht="13.95" customHeight="1" x14ac:dyDescent="0.25">
      <c r="A802" s="2" t="s">
        <v>0</v>
      </c>
      <c r="B802" t="s">
        <v>1</v>
      </c>
      <c r="C802" s="3">
        <v>46276</v>
      </c>
      <c r="D802" t="s">
        <v>2</v>
      </c>
      <c r="E802" t="s">
        <v>0</v>
      </c>
      <c r="F802" s="5">
        <v>122584</v>
      </c>
      <c r="G802" s="5" t="str">
        <f>VLOOKUP(F802,'[1]46974159BCSET2026'!$F:$AE,26,0)</f>
        <v>Sim</v>
      </c>
      <c r="H802" t="s">
        <v>3</v>
      </c>
      <c r="I802" s="3">
        <v>46276</v>
      </c>
      <c r="J802" t="s">
        <v>4</v>
      </c>
      <c r="K802" t="s">
        <v>1144</v>
      </c>
      <c r="L802" t="s">
        <v>1145</v>
      </c>
      <c r="M802" s="8">
        <v>-5.17</v>
      </c>
      <c r="N802" t="s">
        <v>0</v>
      </c>
      <c r="O802" t="s">
        <v>7</v>
      </c>
      <c r="P802" t="s">
        <v>8</v>
      </c>
    </row>
    <row r="803" spans="1:16" ht="13.95" customHeight="1" x14ac:dyDescent="0.25">
      <c r="A803" s="2" t="s">
        <v>0</v>
      </c>
      <c r="B803" t="s">
        <v>1</v>
      </c>
      <c r="C803" s="3">
        <v>46276</v>
      </c>
      <c r="D803" t="s">
        <v>2</v>
      </c>
      <c r="E803" t="s">
        <v>0</v>
      </c>
      <c r="F803" s="5">
        <v>122585</v>
      </c>
      <c r="G803" s="5" t="str">
        <f>VLOOKUP(F803,'[1]46974159BCSET2026'!$F:$AE,26,0)</f>
        <v>Sim</v>
      </c>
      <c r="H803" t="s">
        <v>3</v>
      </c>
      <c r="I803" s="3">
        <v>46276</v>
      </c>
      <c r="J803" t="s">
        <v>4</v>
      </c>
      <c r="K803" t="s">
        <v>1146</v>
      </c>
      <c r="L803" t="s">
        <v>1147</v>
      </c>
      <c r="M803" s="8">
        <v>-5.17</v>
      </c>
      <c r="N803" t="s">
        <v>0</v>
      </c>
      <c r="O803" t="s">
        <v>7</v>
      </c>
      <c r="P803" t="s">
        <v>8</v>
      </c>
    </row>
    <row r="804" spans="1:16" ht="13.95" customHeight="1" x14ac:dyDescent="0.25">
      <c r="A804" s="2" t="s">
        <v>0</v>
      </c>
      <c r="B804" t="s">
        <v>1</v>
      </c>
      <c r="C804" s="3">
        <v>46276</v>
      </c>
      <c r="D804" t="s">
        <v>2</v>
      </c>
      <c r="E804" t="s">
        <v>0</v>
      </c>
      <c r="F804" s="5">
        <v>122368</v>
      </c>
      <c r="G804" s="5" t="str">
        <f>VLOOKUP(F804,'[1]46974159BCSET2026'!$F:$AE,26,0)</f>
        <v>Sim</v>
      </c>
      <c r="H804" t="s">
        <v>3</v>
      </c>
      <c r="I804" s="3">
        <v>46276</v>
      </c>
      <c r="J804" t="s">
        <v>4</v>
      </c>
      <c r="K804" t="s">
        <v>1148</v>
      </c>
      <c r="L804" t="s">
        <v>1149</v>
      </c>
      <c r="M804" s="8">
        <v>-5.17</v>
      </c>
      <c r="N804" t="s">
        <v>0</v>
      </c>
      <c r="O804" t="s">
        <v>7</v>
      </c>
      <c r="P804" t="s">
        <v>8</v>
      </c>
    </row>
    <row r="805" spans="1:16" ht="13.95" customHeight="1" x14ac:dyDescent="0.25">
      <c r="A805" s="2" t="s">
        <v>0</v>
      </c>
      <c r="B805" t="s">
        <v>1</v>
      </c>
      <c r="C805" s="3">
        <v>46276</v>
      </c>
      <c r="D805" t="s">
        <v>2</v>
      </c>
      <c r="E805" t="s">
        <v>0</v>
      </c>
      <c r="F805" s="5">
        <v>122348</v>
      </c>
      <c r="G805" s="5" t="str">
        <f>VLOOKUP(F805,'[1]46974159BCSET2026'!$F:$AE,26,0)</f>
        <v>Sim</v>
      </c>
      <c r="H805" t="s">
        <v>3</v>
      </c>
      <c r="I805" s="3">
        <v>46276</v>
      </c>
      <c r="J805" t="s">
        <v>4</v>
      </c>
      <c r="K805" t="s">
        <v>1150</v>
      </c>
      <c r="L805" t="s">
        <v>1151</v>
      </c>
      <c r="M805" s="8">
        <v>-5.16</v>
      </c>
      <c r="N805" t="s">
        <v>0</v>
      </c>
      <c r="O805" t="s">
        <v>7</v>
      </c>
      <c r="P805" t="s">
        <v>8</v>
      </c>
    </row>
    <row r="806" spans="1:16" ht="13.95" customHeight="1" x14ac:dyDescent="0.25">
      <c r="A806" s="2" t="s">
        <v>0</v>
      </c>
      <c r="B806" t="s">
        <v>1</v>
      </c>
      <c r="C806" s="3">
        <v>46276</v>
      </c>
      <c r="D806" t="s">
        <v>2</v>
      </c>
      <c r="E806" t="s">
        <v>0</v>
      </c>
      <c r="F806" s="5">
        <v>122753</v>
      </c>
      <c r="G806" s="5" t="str">
        <f>VLOOKUP(F806,'[1]46974159BCSET2026'!$F:$AE,26,0)</f>
        <v>Sim</v>
      </c>
      <c r="H806" t="s">
        <v>3</v>
      </c>
      <c r="I806" s="3">
        <v>46276</v>
      </c>
      <c r="J806" t="s">
        <v>4</v>
      </c>
      <c r="K806" t="s">
        <v>1152</v>
      </c>
      <c r="L806" t="s">
        <v>1153</v>
      </c>
      <c r="M806" s="8">
        <v>-5.14</v>
      </c>
      <c r="N806" t="s">
        <v>0</v>
      </c>
      <c r="O806" t="s">
        <v>7</v>
      </c>
      <c r="P806" t="s">
        <v>8</v>
      </c>
    </row>
    <row r="807" spans="1:16" ht="13.95" customHeight="1" x14ac:dyDescent="0.25">
      <c r="A807" s="2" t="s">
        <v>0</v>
      </c>
      <c r="B807" t="s">
        <v>1</v>
      </c>
      <c r="C807" s="3">
        <v>46276</v>
      </c>
      <c r="D807" t="s">
        <v>2</v>
      </c>
      <c r="E807" t="s">
        <v>0</v>
      </c>
      <c r="F807" s="5">
        <v>122353</v>
      </c>
      <c r="G807" s="5" t="str">
        <f>VLOOKUP(F807,'[1]46974159BCSET2026'!$F:$AE,26,0)</f>
        <v>Sim</v>
      </c>
      <c r="H807" t="s">
        <v>3</v>
      </c>
      <c r="I807" s="3">
        <v>46276</v>
      </c>
      <c r="J807" t="s">
        <v>4</v>
      </c>
      <c r="K807" t="s">
        <v>1154</v>
      </c>
      <c r="L807" t="s">
        <v>1155</v>
      </c>
      <c r="M807" s="8">
        <v>-5.14</v>
      </c>
      <c r="N807" t="s">
        <v>0</v>
      </c>
      <c r="O807" t="s">
        <v>7</v>
      </c>
      <c r="P807" t="s">
        <v>8</v>
      </c>
    </row>
    <row r="808" spans="1:16" ht="13.95" customHeight="1" x14ac:dyDescent="0.25">
      <c r="A808" s="2" t="s">
        <v>0</v>
      </c>
      <c r="B808" t="s">
        <v>1</v>
      </c>
      <c r="C808" s="3">
        <v>46276</v>
      </c>
      <c r="D808" t="s">
        <v>2</v>
      </c>
      <c r="E808" t="s">
        <v>0</v>
      </c>
      <c r="F808" s="5">
        <v>122756</v>
      </c>
      <c r="G808" s="5" t="str">
        <f>VLOOKUP(F808,'[1]46974159BCSET2026'!$F:$AE,26,0)</f>
        <v>Sim</v>
      </c>
      <c r="H808" t="s">
        <v>3</v>
      </c>
      <c r="I808" s="3">
        <v>46276</v>
      </c>
      <c r="J808" t="s">
        <v>4</v>
      </c>
      <c r="K808" t="s">
        <v>1156</v>
      </c>
      <c r="L808" t="s">
        <v>1157</v>
      </c>
      <c r="M808" s="8">
        <v>-5.14</v>
      </c>
      <c r="N808" t="s">
        <v>0</v>
      </c>
      <c r="O808" t="s">
        <v>7</v>
      </c>
      <c r="P808" t="s">
        <v>8</v>
      </c>
    </row>
    <row r="809" spans="1:16" ht="13.95" customHeight="1" x14ac:dyDescent="0.25">
      <c r="A809" s="2" t="s">
        <v>0</v>
      </c>
      <c r="B809" t="s">
        <v>1</v>
      </c>
      <c r="C809" s="3">
        <v>46276</v>
      </c>
      <c r="D809" t="s">
        <v>2</v>
      </c>
      <c r="E809" t="s">
        <v>0</v>
      </c>
      <c r="F809" s="5">
        <v>122355</v>
      </c>
      <c r="G809" s="5" t="str">
        <f>VLOOKUP(F809,'[1]46974159BCSET2026'!$F:$AE,26,0)</f>
        <v>Sim</v>
      </c>
      <c r="H809" t="s">
        <v>3</v>
      </c>
      <c r="I809" s="3">
        <v>46276</v>
      </c>
      <c r="J809" t="s">
        <v>4</v>
      </c>
      <c r="K809" t="s">
        <v>1158</v>
      </c>
      <c r="L809" t="s">
        <v>1159</v>
      </c>
      <c r="M809" s="8">
        <v>-5.14</v>
      </c>
      <c r="N809" t="s">
        <v>0</v>
      </c>
      <c r="O809" t="s">
        <v>7</v>
      </c>
      <c r="P809" t="s">
        <v>8</v>
      </c>
    </row>
    <row r="810" spans="1:16" ht="13.95" customHeight="1" x14ac:dyDescent="0.25">
      <c r="A810" s="2" t="s">
        <v>0</v>
      </c>
      <c r="B810" t="s">
        <v>1</v>
      </c>
      <c r="C810" s="3">
        <v>46276</v>
      </c>
      <c r="D810" t="s">
        <v>2</v>
      </c>
      <c r="E810" t="s">
        <v>0</v>
      </c>
      <c r="F810" s="5">
        <v>122575</v>
      </c>
      <c r="G810" s="5" t="str">
        <f>VLOOKUP(F810,'[1]46974159BCSET2026'!$F:$AE,26,0)</f>
        <v>Sim</v>
      </c>
      <c r="H810" t="s">
        <v>3</v>
      </c>
      <c r="I810" s="3">
        <v>46276</v>
      </c>
      <c r="J810" t="s">
        <v>4</v>
      </c>
      <c r="K810" t="s">
        <v>1160</v>
      </c>
      <c r="L810" t="s">
        <v>1161</v>
      </c>
      <c r="M810" s="8">
        <v>-5.14</v>
      </c>
      <c r="N810" t="s">
        <v>0</v>
      </c>
      <c r="O810" t="s">
        <v>7</v>
      </c>
      <c r="P810" t="s">
        <v>8</v>
      </c>
    </row>
    <row r="811" spans="1:16" ht="13.95" customHeight="1" x14ac:dyDescent="0.25">
      <c r="A811" s="2" t="s">
        <v>0</v>
      </c>
      <c r="B811" t="s">
        <v>1</v>
      </c>
      <c r="C811" s="3">
        <v>46276</v>
      </c>
      <c r="D811" t="s">
        <v>2</v>
      </c>
      <c r="E811" t="s">
        <v>0</v>
      </c>
      <c r="F811" s="5">
        <v>122356</v>
      </c>
      <c r="G811" s="5" t="str">
        <f>VLOOKUP(F811,'[1]46974159BCSET2026'!$F:$AE,26,0)</f>
        <v>Sim</v>
      </c>
      <c r="H811" t="s">
        <v>3</v>
      </c>
      <c r="I811" s="3">
        <v>46276</v>
      </c>
      <c r="J811" t="s">
        <v>4</v>
      </c>
      <c r="K811" t="s">
        <v>1162</v>
      </c>
      <c r="L811" t="s">
        <v>1163</v>
      </c>
      <c r="M811" s="8">
        <v>-5.14</v>
      </c>
      <c r="N811" t="s">
        <v>0</v>
      </c>
      <c r="O811" t="s">
        <v>7</v>
      </c>
      <c r="P811" t="s">
        <v>8</v>
      </c>
    </row>
    <row r="812" spans="1:16" ht="13.95" customHeight="1" x14ac:dyDescent="0.25">
      <c r="A812" s="2" t="s">
        <v>0</v>
      </c>
      <c r="B812" t="s">
        <v>1</v>
      </c>
      <c r="C812" s="3">
        <v>46276</v>
      </c>
      <c r="D812" t="s">
        <v>2</v>
      </c>
      <c r="E812" t="s">
        <v>0</v>
      </c>
      <c r="F812" s="5">
        <v>122576</v>
      </c>
      <c r="G812" s="5" t="str">
        <f>VLOOKUP(F812,'[1]46974159BCSET2026'!$F:$AE,26,0)</f>
        <v>Sim</v>
      </c>
      <c r="H812" t="s">
        <v>3</v>
      </c>
      <c r="I812" s="3">
        <v>46276</v>
      </c>
      <c r="J812" t="s">
        <v>4</v>
      </c>
      <c r="K812" t="s">
        <v>1164</v>
      </c>
      <c r="L812" t="s">
        <v>1165</v>
      </c>
      <c r="M812" s="8">
        <v>-5.14</v>
      </c>
      <c r="N812" t="s">
        <v>0</v>
      </c>
      <c r="O812" t="s">
        <v>7</v>
      </c>
      <c r="P812" t="s">
        <v>8</v>
      </c>
    </row>
    <row r="813" spans="1:16" ht="13.95" customHeight="1" x14ac:dyDescent="0.25">
      <c r="A813" s="2" t="s">
        <v>0</v>
      </c>
      <c r="B813" t="s">
        <v>1</v>
      </c>
      <c r="C813" s="3">
        <v>46276</v>
      </c>
      <c r="D813" t="s">
        <v>2</v>
      </c>
      <c r="E813" t="s">
        <v>0</v>
      </c>
      <c r="F813" s="5">
        <v>122358</v>
      </c>
      <c r="G813" s="5" t="str">
        <f>VLOOKUP(F813,'[1]46974159BCSET2026'!$F:$AE,26,0)</f>
        <v>Sim</v>
      </c>
      <c r="H813" t="s">
        <v>3</v>
      </c>
      <c r="I813" s="3">
        <v>46276</v>
      </c>
      <c r="J813" t="s">
        <v>4</v>
      </c>
      <c r="K813" t="s">
        <v>1166</v>
      </c>
      <c r="L813" t="s">
        <v>1167</v>
      </c>
      <c r="M813" s="8">
        <v>-5.14</v>
      </c>
      <c r="N813" t="s">
        <v>0</v>
      </c>
      <c r="O813" t="s">
        <v>7</v>
      </c>
      <c r="P813" t="s">
        <v>8</v>
      </c>
    </row>
    <row r="814" spans="1:16" ht="13.95" customHeight="1" x14ac:dyDescent="0.25">
      <c r="A814" s="2" t="s">
        <v>0</v>
      </c>
      <c r="B814" t="s">
        <v>1</v>
      </c>
      <c r="C814" s="3">
        <v>46276</v>
      </c>
      <c r="D814" t="s">
        <v>2</v>
      </c>
      <c r="E814" t="s">
        <v>0</v>
      </c>
      <c r="F814" s="5">
        <v>122359</v>
      </c>
      <c r="G814" s="5" t="str">
        <f>VLOOKUP(F814,'[1]46974159BCSET2026'!$F:$AE,26,0)</f>
        <v>Sim</v>
      </c>
      <c r="H814" t="s">
        <v>3</v>
      </c>
      <c r="I814" s="3">
        <v>46276</v>
      </c>
      <c r="J814" t="s">
        <v>4</v>
      </c>
      <c r="K814" t="s">
        <v>1168</v>
      </c>
      <c r="L814" t="s">
        <v>1169</v>
      </c>
      <c r="M814" s="8">
        <v>-5.14</v>
      </c>
      <c r="N814" t="s">
        <v>0</v>
      </c>
      <c r="O814" t="s">
        <v>7</v>
      </c>
      <c r="P814" t="s">
        <v>8</v>
      </c>
    </row>
    <row r="815" spans="1:16" ht="13.95" customHeight="1" x14ac:dyDescent="0.25">
      <c r="A815" s="2" t="s">
        <v>0</v>
      </c>
      <c r="B815" t="s">
        <v>1</v>
      </c>
      <c r="C815" s="3">
        <v>46276</v>
      </c>
      <c r="D815" t="s">
        <v>2</v>
      </c>
      <c r="E815" t="s">
        <v>0</v>
      </c>
      <c r="F815" s="5">
        <v>122370</v>
      </c>
      <c r="G815" s="5" t="str">
        <f>VLOOKUP(F815,'[1]46974159BCSET2026'!$F:$AE,26,0)</f>
        <v>Sim</v>
      </c>
      <c r="H815" t="s">
        <v>3</v>
      </c>
      <c r="I815" s="3">
        <v>46276</v>
      </c>
      <c r="J815" t="s">
        <v>4</v>
      </c>
      <c r="K815" t="s">
        <v>1170</v>
      </c>
      <c r="L815" t="s">
        <v>1171</v>
      </c>
      <c r="M815" s="8">
        <v>-5.14</v>
      </c>
      <c r="N815" t="s">
        <v>0</v>
      </c>
      <c r="O815" t="s">
        <v>7</v>
      </c>
      <c r="P815" t="s">
        <v>8</v>
      </c>
    </row>
    <row r="816" spans="1:16" ht="13.95" customHeight="1" x14ac:dyDescent="0.25">
      <c r="A816" s="2" t="s">
        <v>0</v>
      </c>
      <c r="B816" t="s">
        <v>1</v>
      </c>
      <c r="C816" s="3">
        <v>46276</v>
      </c>
      <c r="D816" t="s">
        <v>2</v>
      </c>
      <c r="E816" t="s">
        <v>0</v>
      </c>
      <c r="F816" s="5">
        <v>122398</v>
      </c>
      <c r="G816" s="5" t="str">
        <f>VLOOKUP(F816,'[1]46974159BCSET2026'!$F:$AE,26,0)</f>
        <v>Sim</v>
      </c>
      <c r="H816" t="s">
        <v>3</v>
      </c>
      <c r="I816" s="3">
        <v>46276</v>
      </c>
      <c r="J816" t="s">
        <v>4</v>
      </c>
      <c r="K816" t="s">
        <v>1172</v>
      </c>
      <c r="L816" t="s">
        <v>1173</v>
      </c>
      <c r="M816" s="8">
        <v>-5.14</v>
      </c>
      <c r="N816" t="s">
        <v>0</v>
      </c>
      <c r="O816" t="s">
        <v>7</v>
      </c>
      <c r="P816" t="s">
        <v>8</v>
      </c>
    </row>
    <row r="817" spans="1:16" ht="13.95" customHeight="1" x14ac:dyDescent="0.25">
      <c r="A817" s="2" t="s">
        <v>0</v>
      </c>
      <c r="B817" t="s">
        <v>1</v>
      </c>
      <c r="C817" s="3">
        <v>46276</v>
      </c>
      <c r="D817" t="s">
        <v>2</v>
      </c>
      <c r="E817" t="s">
        <v>0</v>
      </c>
      <c r="F817" s="5">
        <v>122403</v>
      </c>
      <c r="G817" s="5" t="str">
        <f>VLOOKUP(F817,'[1]46974159BCSET2026'!$F:$AE,26,0)</f>
        <v>Sim</v>
      </c>
      <c r="H817" t="s">
        <v>3</v>
      </c>
      <c r="I817" s="3">
        <v>46276</v>
      </c>
      <c r="J817" t="s">
        <v>4</v>
      </c>
      <c r="K817" t="s">
        <v>1174</v>
      </c>
      <c r="L817" t="s">
        <v>1175</v>
      </c>
      <c r="M817" s="8">
        <v>-5.14</v>
      </c>
      <c r="N817" t="s">
        <v>0</v>
      </c>
      <c r="O817" t="s">
        <v>7</v>
      </c>
      <c r="P817" t="s">
        <v>8</v>
      </c>
    </row>
    <row r="818" spans="1:16" ht="13.95" customHeight="1" x14ac:dyDescent="0.25">
      <c r="A818" s="2" t="s">
        <v>0</v>
      </c>
      <c r="B818" t="s">
        <v>1</v>
      </c>
      <c r="C818" s="3">
        <v>46276</v>
      </c>
      <c r="D818" t="s">
        <v>2</v>
      </c>
      <c r="E818" t="s">
        <v>0</v>
      </c>
      <c r="F818" s="5">
        <v>122404</v>
      </c>
      <c r="G818" s="5" t="str">
        <f>VLOOKUP(F818,'[1]46974159BCSET2026'!$F:$AE,26,0)</f>
        <v>Sim</v>
      </c>
      <c r="H818" t="s">
        <v>3</v>
      </c>
      <c r="I818" s="3">
        <v>46276</v>
      </c>
      <c r="J818" t="s">
        <v>4</v>
      </c>
      <c r="K818" t="s">
        <v>1176</v>
      </c>
      <c r="L818" t="s">
        <v>1177</v>
      </c>
      <c r="M818" s="8">
        <v>-5.14</v>
      </c>
      <c r="N818" t="s">
        <v>0</v>
      </c>
      <c r="O818" t="s">
        <v>7</v>
      </c>
      <c r="P818" t="s">
        <v>8</v>
      </c>
    </row>
    <row r="819" spans="1:16" ht="13.95" customHeight="1" x14ac:dyDescent="0.25">
      <c r="A819" s="2" t="s">
        <v>0</v>
      </c>
      <c r="B819" t="s">
        <v>1</v>
      </c>
      <c r="C819" s="3">
        <v>46276</v>
      </c>
      <c r="D819" t="s">
        <v>2</v>
      </c>
      <c r="E819" t="s">
        <v>0</v>
      </c>
      <c r="F819" s="5">
        <v>122406</v>
      </c>
      <c r="G819" s="5" t="str">
        <f>VLOOKUP(F819,'[1]46974159BCSET2026'!$F:$AE,26,0)</f>
        <v>Sim</v>
      </c>
      <c r="H819" t="s">
        <v>3</v>
      </c>
      <c r="I819" s="3">
        <v>46276</v>
      </c>
      <c r="J819" t="s">
        <v>4</v>
      </c>
      <c r="K819" t="s">
        <v>1178</v>
      </c>
      <c r="L819" t="s">
        <v>1179</v>
      </c>
      <c r="M819" s="8">
        <v>-5.14</v>
      </c>
      <c r="N819" t="s">
        <v>0</v>
      </c>
      <c r="O819" t="s">
        <v>7</v>
      </c>
      <c r="P819" t="s">
        <v>8</v>
      </c>
    </row>
    <row r="820" spans="1:16" ht="13.95" customHeight="1" x14ac:dyDescent="0.25">
      <c r="A820" s="2" t="s">
        <v>0</v>
      </c>
      <c r="B820" t="s">
        <v>1</v>
      </c>
      <c r="C820" s="3">
        <v>46276</v>
      </c>
      <c r="D820" t="s">
        <v>2</v>
      </c>
      <c r="E820" t="s">
        <v>0</v>
      </c>
      <c r="F820" s="5">
        <v>122600</v>
      </c>
      <c r="G820" s="5" t="str">
        <f>VLOOKUP(F820,'[1]46974159BCSET2026'!$F:$AE,26,0)</f>
        <v>Sim</v>
      </c>
      <c r="H820" t="s">
        <v>3</v>
      </c>
      <c r="I820" s="3">
        <v>46276</v>
      </c>
      <c r="J820" t="s">
        <v>4</v>
      </c>
      <c r="K820" t="s">
        <v>1180</v>
      </c>
      <c r="L820" t="s">
        <v>1181</v>
      </c>
      <c r="M820" s="8">
        <v>-5.14</v>
      </c>
      <c r="N820" t="s">
        <v>0</v>
      </c>
      <c r="O820" t="s">
        <v>7</v>
      </c>
      <c r="P820" t="s">
        <v>8</v>
      </c>
    </row>
    <row r="821" spans="1:16" ht="13.95" customHeight="1" x14ac:dyDescent="0.25">
      <c r="A821" s="2" t="s">
        <v>0</v>
      </c>
      <c r="B821" t="s">
        <v>1</v>
      </c>
      <c r="C821" s="3">
        <v>46276</v>
      </c>
      <c r="D821" t="s">
        <v>2</v>
      </c>
      <c r="E821" t="s">
        <v>0</v>
      </c>
      <c r="F821" s="5">
        <v>122407</v>
      </c>
      <c r="G821" s="5" t="str">
        <f>VLOOKUP(F821,'[1]46974159BCSET2026'!$F:$AE,26,0)</f>
        <v>Sim</v>
      </c>
      <c r="H821" t="s">
        <v>3</v>
      </c>
      <c r="I821" s="3">
        <v>46276</v>
      </c>
      <c r="J821" t="s">
        <v>4</v>
      </c>
      <c r="K821" t="s">
        <v>1182</v>
      </c>
      <c r="L821" t="s">
        <v>1183</v>
      </c>
      <c r="M821" s="8">
        <v>-5.14</v>
      </c>
      <c r="N821" t="s">
        <v>0</v>
      </c>
      <c r="O821" t="s">
        <v>7</v>
      </c>
      <c r="P821" t="s">
        <v>8</v>
      </c>
    </row>
    <row r="822" spans="1:16" ht="13.95" customHeight="1" x14ac:dyDescent="0.25">
      <c r="A822" s="2" t="s">
        <v>0</v>
      </c>
      <c r="B822" t="s">
        <v>1</v>
      </c>
      <c r="C822" s="3">
        <v>46276</v>
      </c>
      <c r="D822" t="s">
        <v>2</v>
      </c>
      <c r="E822" t="s">
        <v>0</v>
      </c>
      <c r="F822" s="5">
        <v>122781</v>
      </c>
      <c r="G822" s="5" t="str">
        <f>VLOOKUP(F822,'[1]46974159BCSET2026'!$F:$AE,26,0)</f>
        <v>Sim</v>
      </c>
      <c r="H822" t="s">
        <v>3</v>
      </c>
      <c r="I822" s="3">
        <v>46276</v>
      </c>
      <c r="J822" t="s">
        <v>4</v>
      </c>
      <c r="K822" t="s">
        <v>1184</v>
      </c>
      <c r="L822" t="s">
        <v>1185</v>
      </c>
      <c r="M822" s="8">
        <v>-5.14</v>
      </c>
      <c r="N822" t="s">
        <v>0</v>
      </c>
      <c r="O822" t="s">
        <v>7</v>
      </c>
      <c r="P822" t="s">
        <v>8</v>
      </c>
    </row>
    <row r="823" spans="1:16" ht="13.95" customHeight="1" x14ac:dyDescent="0.25">
      <c r="A823" s="2" t="s">
        <v>0</v>
      </c>
      <c r="B823" t="s">
        <v>1</v>
      </c>
      <c r="C823" s="3">
        <v>46276</v>
      </c>
      <c r="D823" t="s">
        <v>2</v>
      </c>
      <c r="E823" t="s">
        <v>0</v>
      </c>
      <c r="F823" s="5">
        <v>122411</v>
      </c>
      <c r="G823" s="5" t="str">
        <f>VLOOKUP(F823,'[1]46974159BCSET2026'!$F:$AE,26,0)</f>
        <v>Sim</v>
      </c>
      <c r="H823" t="s">
        <v>3</v>
      </c>
      <c r="I823" s="3">
        <v>46276</v>
      </c>
      <c r="J823" t="s">
        <v>4</v>
      </c>
      <c r="K823" t="s">
        <v>1186</v>
      </c>
      <c r="L823" t="s">
        <v>1187</v>
      </c>
      <c r="M823" s="8">
        <v>-5.14</v>
      </c>
      <c r="N823" t="s">
        <v>0</v>
      </c>
      <c r="O823" t="s">
        <v>7</v>
      </c>
      <c r="P823" t="s">
        <v>8</v>
      </c>
    </row>
    <row r="824" spans="1:16" ht="13.95" customHeight="1" x14ac:dyDescent="0.25">
      <c r="A824" s="2" t="s">
        <v>0</v>
      </c>
      <c r="B824" t="s">
        <v>1</v>
      </c>
      <c r="C824" s="3">
        <v>46276</v>
      </c>
      <c r="D824" t="s">
        <v>2</v>
      </c>
      <c r="E824" t="s">
        <v>0</v>
      </c>
      <c r="F824" s="5">
        <v>122412</v>
      </c>
      <c r="G824" s="5" t="str">
        <f>VLOOKUP(F824,'[1]46974159BCSET2026'!$F:$AE,26,0)</f>
        <v>Sim</v>
      </c>
      <c r="H824" t="s">
        <v>3</v>
      </c>
      <c r="I824" s="3">
        <v>46276</v>
      </c>
      <c r="J824" t="s">
        <v>4</v>
      </c>
      <c r="K824" t="s">
        <v>1188</v>
      </c>
      <c r="L824" t="s">
        <v>1189</v>
      </c>
      <c r="M824" s="8">
        <v>-5.14</v>
      </c>
      <c r="N824" t="s">
        <v>0</v>
      </c>
      <c r="O824" t="s">
        <v>7</v>
      </c>
      <c r="P824" t="s">
        <v>8</v>
      </c>
    </row>
    <row r="825" spans="1:16" ht="13.95" customHeight="1" x14ac:dyDescent="0.25">
      <c r="A825" s="2" t="s">
        <v>0</v>
      </c>
      <c r="B825" t="s">
        <v>1</v>
      </c>
      <c r="C825" s="3">
        <v>46276</v>
      </c>
      <c r="D825" t="s">
        <v>2</v>
      </c>
      <c r="E825" t="s">
        <v>0</v>
      </c>
      <c r="F825" s="5">
        <v>122782</v>
      </c>
      <c r="G825" s="5" t="str">
        <f>VLOOKUP(F825,'[1]46974159BCSET2026'!$F:$AE,26,0)</f>
        <v>Sim</v>
      </c>
      <c r="H825" t="s">
        <v>3</v>
      </c>
      <c r="I825" s="3">
        <v>46276</v>
      </c>
      <c r="J825" t="s">
        <v>4</v>
      </c>
      <c r="K825" t="s">
        <v>1190</v>
      </c>
      <c r="L825" t="s">
        <v>1191</v>
      </c>
      <c r="M825" s="8">
        <v>-5.14</v>
      </c>
      <c r="N825" t="s">
        <v>0</v>
      </c>
      <c r="O825" t="s">
        <v>7</v>
      </c>
      <c r="P825" t="s">
        <v>8</v>
      </c>
    </row>
    <row r="826" spans="1:16" ht="13.95" customHeight="1" x14ac:dyDescent="0.25">
      <c r="A826" s="2" t="s">
        <v>0</v>
      </c>
      <c r="B826" t="s">
        <v>1</v>
      </c>
      <c r="C826" s="3">
        <v>46276</v>
      </c>
      <c r="D826" t="s">
        <v>2</v>
      </c>
      <c r="E826" t="s">
        <v>0</v>
      </c>
      <c r="F826" s="5">
        <v>122413</v>
      </c>
      <c r="G826" s="5" t="str">
        <f>VLOOKUP(F826,'[1]46974159BCSET2026'!$F:$AE,26,0)</f>
        <v>Sim</v>
      </c>
      <c r="H826" t="s">
        <v>3</v>
      </c>
      <c r="I826" s="3">
        <v>46276</v>
      </c>
      <c r="J826" t="s">
        <v>4</v>
      </c>
      <c r="K826" t="s">
        <v>1192</v>
      </c>
      <c r="L826" t="s">
        <v>1193</v>
      </c>
      <c r="M826" s="8">
        <v>-5.14</v>
      </c>
      <c r="N826" t="s">
        <v>0</v>
      </c>
      <c r="O826" t="s">
        <v>7</v>
      </c>
      <c r="P826" t="s">
        <v>8</v>
      </c>
    </row>
    <row r="827" spans="1:16" ht="13.95" customHeight="1" x14ac:dyDescent="0.25">
      <c r="A827" s="2" t="s">
        <v>0</v>
      </c>
      <c r="B827" t="s">
        <v>1</v>
      </c>
      <c r="C827" s="3">
        <v>46276</v>
      </c>
      <c r="D827" t="s">
        <v>2</v>
      </c>
      <c r="E827" t="s">
        <v>0</v>
      </c>
      <c r="F827" s="5">
        <v>122414</v>
      </c>
      <c r="G827" s="5" t="str">
        <f>VLOOKUP(F827,'[1]46974159BCSET2026'!$F:$AE,26,0)</f>
        <v>Sim</v>
      </c>
      <c r="H827" t="s">
        <v>3</v>
      </c>
      <c r="I827" s="3">
        <v>46276</v>
      </c>
      <c r="J827" t="s">
        <v>4</v>
      </c>
      <c r="K827" t="s">
        <v>1194</v>
      </c>
      <c r="L827" t="s">
        <v>1195</v>
      </c>
      <c r="M827" s="8">
        <v>-5.14</v>
      </c>
      <c r="N827" t="s">
        <v>0</v>
      </c>
      <c r="O827" t="s">
        <v>7</v>
      </c>
      <c r="P827" t="s">
        <v>8</v>
      </c>
    </row>
    <row r="828" spans="1:16" ht="13.95" customHeight="1" x14ac:dyDescent="0.25">
      <c r="A828" s="2" t="s">
        <v>0</v>
      </c>
      <c r="B828" t="s">
        <v>1</v>
      </c>
      <c r="C828" s="3">
        <v>46276</v>
      </c>
      <c r="D828" t="s">
        <v>2</v>
      </c>
      <c r="E828" t="s">
        <v>0</v>
      </c>
      <c r="F828" s="5">
        <v>122420</v>
      </c>
      <c r="G828" s="5" t="str">
        <f>VLOOKUP(F828,'[1]46974159BCSET2026'!$F:$AE,26,0)</f>
        <v>Sim</v>
      </c>
      <c r="H828" t="s">
        <v>3</v>
      </c>
      <c r="I828" s="3">
        <v>46276</v>
      </c>
      <c r="J828" t="s">
        <v>4</v>
      </c>
      <c r="K828" t="s">
        <v>1196</v>
      </c>
      <c r="L828" t="s">
        <v>1197</v>
      </c>
      <c r="M828" s="8">
        <v>-5.14</v>
      </c>
      <c r="N828" t="s">
        <v>0</v>
      </c>
      <c r="O828" t="s">
        <v>7</v>
      </c>
      <c r="P828" t="s">
        <v>8</v>
      </c>
    </row>
    <row r="829" spans="1:16" ht="13.95" customHeight="1" x14ac:dyDescent="0.25">
      <c r="A829" s="2" t="s">
        <v>0</v>
      </c>
      <c r="B829" t="s">
        <v>1</v>
      </c>
      <c r="C829" s="3">
        <v>46276</v>
      </c>
      <c r="D829" t="s">
        <v>2</v>
      </c>
      <c r="E829" t="s">
        <v>0</v>
      </c>
      <c r="F829" s="5">
        <v>122421</v>
      </c>
      <c r="G829" s="5" t="str">
        <f>VLOOKUP(F829,'[1]46974159BCSET2026'!$F:$AE,26,0)</f>
        <v>Sim</v>
      </c>
      <c r="H829" t="s">
        <v>3</v>
      </c>
      <c r="I829" s="3">
        <v>46276</v>
      </c>
      <c r="J829" t="s">
        <v>4</v>
      </c>
      <c r="K829" t="s">
        <v>1198</v>
      </c>
      <c r="L829" t="s">
        <v>1199</v>
      </c>
      <c r="M829" s="8">
        <v>-5.14</v>
      </c>
      <c r="N829" t="s">
        <v>0</v>
      </c>
      <c r="O829" t="s">
        <v>7</v>
      </c>
      <c r="P829" t="s">
        <v>8</v>
      </c>
    </row>
    <row r="830" spans="1:16" ht="13.95" customHeight="1" x14ac:dyDescent="0.25">
      <c r="A830" s="2" t="s">
        <v>0</v>
      </c>
      <c r="B830" t="s">
        <v>1</v>
      </c>
      <c r="C830" s="3">
        <v>46276</v>
      </c>
      <c r="D830" t="s">
        <v>2</v>
      </c>
      <c r="E830" t="s">
        <v>0</v>
      </c>
      <c r="F830" s="5">
        <v>122784</v>
      </c>
      <c r="G830" s="5" t="str">
        <f>VLOOKUP(F830,'[1]46974159BCSET2026'!$F:$AE,26,0)</f>
        <v>Sim</v>
      </c>
      <c r="H830" t="s">
        <v>3</v>
      </c>
      <c r="I830" s="3">
        <v>46276</v>
      </c>
      <c r="J830" t="s">
        <v>4</v>
      </c>
      <c r="K830" t="s">
        <v>1200</v>
      </c>
      <c r="L830" t="s">
        <v>1201</v>
      </c>
      <c r="M830" s="8">
        <v>-5.14</v>
      </c>
      <c r="N830" t="s">
        <v>0</v>
      </c>
      <c r="O830" t="s">
        <v>7</v>
      </c>
      <c r="P830" t="s">
        <v>8</v>
      </c>
    </row>
    <row r="831" spans="1:16" ht="13.95" customHeight="1" x14ac:dyDescent="0.25">
      <c r="A831" s="2" t="s">
        <v>0</v>
      </c>
      <c r="B831" t="s">
        <v>1</v>
      </c>
      <c r="C831" s="3">
        <v>46276</v>
      </c>
      <c r="D831" t="s">
        <v>2</v>
      </c>
      <c r="E831" t="s">
        <v>0</v>
      </c>
      <c r="F831" s="5">
        <v>122785</v>
      </c>
      <c r="G831" s="5" t="str">
        <f>VLOOKUP(F831,'[1]46974159BCSET2026'!$F:$AE,26,0)</f>
        <v>Sim</v>
      </c>
      <c r="H831" t="s">
        <v>3</v>
      </c>
      <c r="I831" s="3">
        <v>46276</v>
      </c>
      <c r="J831" t="s">
        <v>4</v>
      </c>
      <c r="K831" t="s">
        <v>1202</v>
      </c>
      <c r="L831" t="s">
        <v>1203</v>
      </c>
      <c r="M831" s="8">
        <v>-5.14</v>
      </c>
      <c r="N831" t="s">
        <v>0</v>
      </c>
      <c r="O831" t="s">
        <v>7</v>
      </c>
      <c r="P831" t="s">
        <v>8</v>
      </c>
    </row>
    <row r="832" spans="1:16" ht="13.95" customHeight="1" x14ac:dyDescent="0.25">
      <c r="A832" s="2" t="s">
        <v>0</v>
      </c>
      <c r="B832" t="s">
        <v>1</v>
      </c>
      <c r="C832" s="3">
        <v>46276</v>
      </c>
      <c r="D832" t="s">
        <v>2</v>
      </c>
      <c r="E832" t="s">
        <v>0</v>
      </c>
      <c r="F832" s="5">
        <v>122607</v>
      </c>
      <c r="G832" s="5" t="str">
        <f>VLOOKUP(F832,'[1]46974159BCSET2026'!$F:$AE,26,0)</f>
        <v>Sim</v>
      </c>
      <c r="H832" t="s">
        <v>3</v>
      </c>
      <c r="I832" s="3">
        <v>46276</v>
      </c>
      <c r="J832" t="s">
        <v>4</v>
      </c>
      <c r="K832" t="s">
        <v>1204</v>
      </c>
      <c r="L832" t="s">
        <v>1205</v>
      </c>
      <c r="M832" s="8">
        <v>-5.14</v>
      </c>
      <c r="N832" t="s">
        <v>0</v>
      </c>
      <c r="O832" t="s">
        <v>7</v>
      </c>
      <c r="P832" t="s">
        <v>8</v>
      </c>
    </row>
    <row r="833" spans="1:16" ht="13.95" customHeight="1" x14ac:dyDescent="0.25">
      <c r="A833" s="2" t="s">
        <v>0</v>
      </c>
      <c r="B833" t="s">
        <v>1</v>
      </c>
      <c r="C833" s="3">
        <v>46276</v>
      </c>
      <c r="D833" t="s">
        <v>2</v>
      </c>
      <c r="E833" t="s">
        <v>0</v>
      </c>
      <c r="F833" s="5">
        <v>122786</v>
      </c>
      <c r="G833" s="5" t="str">
        <f>VLOOKUP(F833,'[1]46974159BCSET2026'!$F:$AE,26,0)</f>
        <v>Sim</v>
      </c>
      <c r="H833" t="s">
        <v>3</v>
      </c>
      <c r="I833" s="3">
        <v>46276</v>
      </c>
      <c r="J833" t="s">
        <v>4</v>
      </c>
      <c r="K833" t="s">
        <v>1206</v>
      </c>
      <c r="L833" t="s">
        <v>1207</v>
      </c>
      <c r="M833" s="8">
        <v>-5.14</v>
      </c>
      <c r="N833" t="s">
        <v>0</v>
      </c>
      <c r="O833" t="s">
        <v>7</v>
      </c>
      <c r="P833" t="s">
        <v>8</v>
      </c>
    </row>
    <row r="834" spans="1:16" ht="13.95" customHeight="1" x14ac:dyDescent="0.25">
      <c r="A834" s="2" t="s">
        <v>0</v>
      </c>
      <c r="B834" t="s">
        <v>1</v>
      </c>
      <c r="C834" s="3">
        <v>46276</v>
      </c>
      <c r="D834" t="s">
        <v>2</v>
      </c>
      <c r="E834" t="s">
        <v>0</v>
      </c>
      <c r="F834" s="5">
        <v>122424</v>
      </c>
      <c r="G834" s="5" t="str">
        <f>VLOOKUP(F834,'[1]46974159BCSET2026'!$F:$AE,26,0)</f>
        <v>Sim</v>
      </c>
      <c r="H834" t="s">
        <v>3</v>
      </c>
      <c r="I834" s="3">
        <v>46276</v>
      </c>
      <c r="J834" t="s">
        <v>4</v>
      </c>
      <c r="K834" t="s">
        <v>1208</v>
      </c>
      <c r="L834" t="s">
        <v>1209</v>
      </c>
      <c r="M834" s="8">
        <v>-5.14</v>
      </c>
      <c r="N834" t="s">
        <v>0</v>
      </c>
      <c r="O834" t="s">
        <v>7</v>
      </c>
      <c r="P834" t="s">
        <v>8</v>
      </c>
    </row>
    <row r="835" spans="1:16" ht="13.95" customHeight="1" x14ac:dyDescent="0.25">
      <c r="A835" s="2" t="s">
        <v>0</v>
      </c>
      <c r="B835" t="s">
        <v>1</v>
      </c>
      <c r="C835" s="3">
        <v>46276</v>
      </c>
      <c r="D835" t="s">
        <v>2</v>
      </c>
      <c r="E835" t="s">
        <v>0</v>
      </c>
      <c r="F835" s="5">
        <v>122426</v>
      </c>
      <c r="G835" s="5" t="str">
        <f>VLOOKUP(F835,'[1]46974159BCSET2026'!$F:$AE,26,0)</f>
        <v>Sim</v>
      </c>
      <c r="H835" t="s">
        <v>3</v>
      </c>
      <c r="I835" s="3">
        <v>46276</v>
      </c>
      <c r="J835" t="s">
        <v>4</v>
      </c>
      <c r="K835" t="s">
        <v>1210</v>
      </c>
      <c r="L835" t="s">
        <v>1211</v>
      </c>
      <c r="M835" s="8">
        <v>-5.14</v>
      </c>
      <c r="N835" t="s">
        <v>0</v>
      </c>
      <c r="O835" t="s">
        <v>7</v>
      </c>
      <c r="P835" t="s">
        <v>8</v>
      </c>
    </row>
    <row r="836" spans="1:16" ht="13.95" customHeight="1" x14ac:dyDescent="0.25">
      <c r="A836" s="2" t="s">
        <v>0</v>
      </c>
      <c r="B836" t="s">
        <v>1</v>
      </c>
      <c r="C836" s="3">
        <v>46276</v>
      </c>
      <c r="D836" t="s">
        <v>2</v>
      </c>
      <c r="E836" t="s">
        <v>0</v>
      </c>
      <c r="F836" s="5">
        <v>122427</v>
      </c>
      <c r="G836" s="5" t="str">
        <f>VLOOKUP(F836,'[1]46974159BCSET2026'!$F:$AE,26,0)</f>
        <v>Sim</v>
      </c>
      <c r="H836" t="s">
        <v>3</v>
      </c>
      <c r="I836" s="3">
        <v>46276</v>
      </c>
      <c r="J836" t="s">
        <v>4</v>
      </c>
      <c r="K836" t="s">
        <v>1212</v>
      </c>
      <c r="L836" t="s">
        <v>1213</v>
      </c>
      <c r="M836" s="8">
        <v>-5.14</v>
      </c>
      <c r="N836" t="s">
        <v>0</v>
      </c>
      <c r="O836" t="s">
        <v>7</v>
      </c>
      <c r="P836" t="s">
        <v>8</v>
      </c>
    </row>
    <row r="837" spans="1:16" ht="13.95" customHeight="1" x14ac:dyDescent="0.25">
      <c r="A837" s="2" t="s">
        <v>0</v>
      </c>
      <c r="B837" t="s">
        <v>1</v>
      </c>
      <c r="C837" s="3">
        <v>46276</v>
      </c>
      <c r="D837" t="s">
        <v>2</v>
      </c>
      <c r="E837" t="s">
        <v>0</v>
      </c>
      <c r="F837" s="5">
        <v>122608</v>
      </c>
      <c r="G837" s="5" t="str">
        <f>VLOOKUP(F837,'[1]46974159BCSET2026'!$F:$AE,26,0)</f>
        <v>Sim</v>
      </c>
      <c r="H837" t="s">
        <v>3</v>
      </c>
      <c r="I837" s="3">
        <v>46276</v>
      </c>
      <c r="J837" t="s">
        <v>4</v>
      </c>
      <c r="K837" t="s">
        <v>1214</v>
      </c>
      <c r="L837" t="s">
        <v>1215</v>
      </c>
      <c r="M837" s="8">
        <v>-5.14</v>
      </c>
      <c r="N837" t="s">
        <v>0</v>
      </c>
      <c r="O837" t="s">
        <v>7</v>
      </c>
      <c r="P837" t="s">
        <v>8</v>
      </c>
    </row>
    <row r="838" spans="1:16" ht="13.95" customHeight="1" x14ac:dyDescent="0.25">
      <c r="A838" s="2" t="s">
        <v>0</v>
      </c>
      <c r="B838" t="s">
        <v>1</v>
      </c>
      <c r="C838" s="3">
        <v>46276</v>
      </c>
      <c r="D838" t="s">
        <v>2</v>
      </c>
      <c r="E838" t="s">
        <v>0</v>
      </c>
      <c r="F838" s="5">
        <v>122787</v>
      </c>
      <c r="G838" s="5" t="str">
        <f>VLOOKUP(F838,'[1]46974159BCSET2026'!$F:$AE,26,0)</f>
        <v>Sim</v>
      </c>
      <c r="H838" t="s">
        <v>3</v>
      </c>
      <c r="I838" s="3">
        <v>46276</v>
      </c>
      <c r="J838" t="s">
        <v>4</v>
      </c>
      <c r="K838" t="s">
        <v>1216</v>
      </c>
      <c r="L838" t="s">
        <v>1217</v>
      </c>
      <c r="M838" s="8">
        <v>-5.14</v>
      </c>
      <c r="N838" t="s">
        <v>0</v>
      </c>
      <c r="O838" t="s">
        <v>7</v>
      </c>
      <c r="P838" t="s">
        <v>8</v>
      </c>
    </row>
    <row r="839" spans="1:16" ht="13.95" customHeight="1" x14ac:dyDescent="0.25">
      <c r="A839" s="2" t="s">
        <v>0</v>
      </c>
      <c r="B839" t="s">
        <v>1</v>
      </c>
      <c r="C839" s="3">
        <v>46276</v>
      </c>
      <c r="D839" t="s">
        <v>2</v>
      </c>
      <c r="E839" t="s">
        <v>0</v>
      </c>
      <c r="F839" s="5">
        <v>122428</v>
      </c>
      <c r="G839" s="5" t="str">
        <f>VLOOKUP(F839,'[1]46974159BCSET2026'!$F:$AE,26,0)</f>
        <v>Sim</v>
      </c>
      <c r="H839" t="s">
        <v>3</v>
      </c>
      <c r="I839" s="3">
        <v>46276</v>
      </c>
      <c r="J839" t="s">
        <v>4</v>
      </c>
      <c r="K839" t="s">
        <v>1218</v>
      </c>
      <c r="L839" t="s">
        <v>1219</v>
      </c>
      <c r="M839" s="8">
        <v>-5.14</v>
      </c>
      <c r="N839" t="s">
        <v>0</v>
      </c>
      <c r="O839" t="s">
        <v>7</v>
      </c>
      <c r="P839" t="s">
        <v>8</v>
      </c>
    </row>
    <row r="840" spans="1:16" ht="13.95" customHeight="1" x14ac:dyDescent="0.25">
      <c r="A840" s="2" t="s">
        <v>0</v>
      </c>
      <c r="B840" t="s">
        <v>1</v>
      </c>
      <c r="C840" s="3">
        <v>46276</v>
      </c>
      <c r="D840" t="s">
        <v>2</v>
      </c>
      <c r="E840" t="s">
        <v>0</v>
      </c>
      <c r="F840" s="5">
        <v>122429</v>
      </c>
      <c r="G840" s="5" t="str">
        <f>VLOOKUP(F840,'[1]46974159BCSET2026'!$F:$AE,26,0)</f>
        <v>Sim</v>
      </c>
      <c r="H840" t="s">
        <v>3</v>
      </c>
      <c r="I840" s="3">
        <v>46276</v>
      </c>
      <c r="J840" t="s">
        <v>4</v>
      </c>
      <c r="K840" t="s">
        <v>1220</v>
      </c>
      <c r="L840" t="s">
        <v>1221</v>
      </c>
      <c r="M840" s="8">
        <v>-5.14</v>
      </c>
      <c r="N840" t="s">
        <v>0</v>
      </c>
      <c r="O840" t="s">
        <v>7</v>
      </c>
      <c r="P840" t="s">
        <v>8</v>
      </c>
    </row>
    <row r="841" spans="1:16" ht="13.95" customHeight="1" x14ac:dyDescent="0.25">
      <c r="A841" s="2" t="s">
        <v>0</v>
      </c>
      <c r="B841" t="s">
        <v>1</v>
      </c>
      <c r="C841" s="3">
        <v>46276</v>
      </c>
      <c r="D841" t="s">
        <v>2</v>
      </c>
      <c r="E841" t="s">
        <v>0</v>
      </c>
      <c r="F841" s="5">
        <v>122430</v>
      </c>
      <c r="G841" s="5" t="str">
        <f>VLOOKUP(F841,'[1]46974159BCSET2026'!$F:$AE,26,0)</f>
        <v>Sim</v>
      </c>
      <c r="H841" t="s">
        <v>3</v>
      </c>
      <c r="I841" s="3">
        <v>46276</v>
      </c>
      <c r="J841" t="s">
        <v>4</v>
      </c>
      <c r="K841" t="s">
        <v>1222</v>
      </c>
      <c r="L841" t="s">
        <v>1223</v>
      </c>
      <c r="M841" s="8">
        <v>-5.14</v>
      </c>
      <c r="N841" t="s">
        <v>0</v>
      </c>
      <c r="O841" t="s">
        <v>7</v>
      </c>
      <c r="P841" t="s">
        <v>8</v>
      </c>
    </row>
    <row r="842" spans="1:16" ht="13.95" customHeight="1" x14ac:dyDescent="0.25">
      <c r="A842" s="2" t="s">
        <v>0</v>
      </c>
      <c r="B842" t="s">
        <v>1</v>
      </c>
      <c r="C842" s="3">
        <v>46276</v>
      </c>
      <c r="D842" t="s">
        <v>2</v>
      </c>
      <c r="E842" t="s">
        <v>0</v>
      </c>
      <c r="F842" s="5">
        <v>122431</v>
      </c>
      <c r="G842" s="5" t="str">
        <f>VLOOKUP(F842,'[1]46974159BCSET2026'!$F:$AE,26,0)</f>
        <v>Sim</v>
      </c>
      <c r="H842" t="s">
        <v>3</v>
      </c>
      <c r="I842" s="3">
        <v>46276</v>
      </c>
      <c r="J842" t="s">
        <v>4</v>
      </c>
      <c r="K842" t="s">
        <v>1224</v>
      </c>
      <c r="L842" t="s">
        <v>1225</v>
      </c>
      <c r="M842" s="8">
        <v>-5.14</v>
      </c>
      <c r="N842" t="s">
        <v>0</v>
      </c>
      <c r="O842" t="s">
        <v>7</v>
      </c>
      <c r="P842" t="s">
        <v>8</v>
      </c>
    </row>
    <row r="843" spans="1:16" ht="13.95" customHeight="1" x14ac:dyDescent="0.25">
      <c r="A843" s="2" t="s">
        <v>0</v>
      </c>
      <c r="B843" t="s">
        <v>1</v>
      </c>
      <c r="C843" s="3">
        <v>46276</v>
      </c>
      <c r="D843" t="s">
        <v>2</v>
      </c>
      <c r="E843" t="s">
        <v>0</v>
      </c>
      <c r="F843" s="5">
        <v>122611</v>
      </c>
      <c r="G843" s="5" t="str">
        <f>VLOOKUP(F843,'[1]46974159BCSET2026'!$F:$AE,26,0)</f>
        <v>Sim</v>
      </c>
      <c r="H843" t="s">
        <v>3</v>
      </c>
      <c r="I843" s="3">
        <v>46276</v>
      </c>
      <c r="J843" t="s">
        <v>4</v>
      </c>
      <c r="K843" t="s">
        <v>1226</v>
      </c>
      <c r="L843" t="s">
        <v>1227</v>
      </c>
      <c r="M843" s="8">
        <v>-5.14</v>
      </c>
      <c r="N843" t="s">
        <v>0</v>
      </c>
      <c r="O843" t="s">
        <v>7</v>
      </c>
      <c r="P843" t="s">
        <v>8</v>
      </c>
    </row>
    <row r="844" spans="1:16" ht="13.95" customHeight="1" x14ac:dyDescent="0.25">
      <c r="A844" s="2" t="s">
        <v>0</v>
      </c>
      <c r="B844" t="s">
        <v>1</v>
      </c>
      <c r="C844" s="3">
        <v>46276</v>
      </c>
      <c r="D844" t="s">
        <v>2</v>
      </c>
      <c r="E844" t="s">
        <v>0</v>
      </c>
      <c r="F844" s="5">
        <v>122435</v>
      </c>
      <c r="G844" s="5" t="str">
        <f>VLOOKUP(F844,'[1]46974159BCSET2026'!$F:$AE,26,0)</f>
        <v>Sim</v>
      </c>
      <c r="H844" t="s">
        <v>3</v>
      </c>
      <c r="I844" s="3">
        <v>46276</v>
      </c>
      <c r="J844" t="s">
        <v>4</v>
      </c>
      <c r="K844" t="s">
        <v>1228</v>
      </c>
      <c r="L844" t="s">
        <v>1229</v>
      </c>
      <c r="M844" s="8">
        <v>-5.14</v>
      </c>
      <c r="N844" t="s">
        <v>0</v>
      </c>
      <c r="O844" t="s">
        <v>7</v>
      </c>
      <c r="P844" t="s">
        <v>8</v>
      </c>
    </row>
    <row r="845" spans="1:16" ht="13.95" customHeight="1" x14ac:dyDescent="0.25">
      <c r="A845" s="2" t="s">
        <v>0</v>
      </c>
      <c r="B845" t="s">
        <v>1</v>
      </c>
      <c r="C845" s="3">
        <v>46276</v>
      </c>
      <c r="D845" t="s">
        <v>2</v>
      </c>
      <c r="E845" t="s">
        <v>0</v>
      </c>
      <c r="F845" s="5">
        <v>122436</v>
      </c>
      <c r="G845" s="5" t="str">
        <f>VLOOKUP(F845,'[1]46974159BCSET2026'!$F:$AE,26,0)</f>
        <v>Sim</v>
      </c>
      <c r="H845" t="s">
        <v>3</v>
      </c>
      <c r="I845" s="3">
        <v>46276</v>
      </c>
      <c r="J845" t="s">
        <v>4</v>
      </c>
      <c r="K845" t="s">
        <v>1230</v>
      </c>
      <c r="L845" t="s">
        <v>1231</v>
      </c>
      <c r="M845" s="8">
        <v>-5.14</v>
      </c>
      <c r="N845" t="s">
        <v>0</v>
      </c>
      <c r="O845" t="s">
        <v>7</v>
      </c>
      <c r="P845" t="s">
        <v>8</v>
      </c>
    </row>
    <row r="846" spans="1:16" ht="13.95" customHeight="1" x14ac:dyDescent="0.25">
      <c r="A846" s="2" t="s">
        <v>0</v>
      </c>
      <c r="B846" t="s">
        <v>1</v>
      </c>
      <c r="C846" s="3">
        <v>46276</v>
      </c>
      <c r="D846" t="s">
        <v>2</v>
      </c>
      <c r="E846" t="s">
        <v>0</v>
      </c>
      <c r="F846" s="5">
        <v>122791</v>
      </c>
      <c r="G846" s="5" t="str">
        <f>VLOOKUP(F846,'[1]46974159BCSET2026'!$F:$AE,26,0)</f>
        <v>Sim</v>
      </c>
      <c r="H846" t="s">
        <v>3</v>
      </c>
      <c r="I846" s="3">
        <v>46276</v>
      </c>
      <c r="J846" t="s">
        <v>4</v>
      </c>
      <c r="K846" t="s">
        <v>1232</v>
      </c>
      <c r="L846" t="s">
        <v>1233</v>
      </c>
      <c r="M846" s="8">
        <v>-5.14</v>
      </c>
      <c r="N846" t="s">
        <v>0</v>
      </c>
      <c r="O846" t="s">
        <v>7</v>
      </c>
      <c r="P846" t="s">
        <v>8</v>
      </c>
    </row>
    <row r="847" spans="1:16" ht="13.95" customHeight="1" x14ac:dyDescent="0.25">
      <c r="A847" s="2" t="s">
        <v>0</v>
      </c>
      <c r="B847" t="s">
        <v>1</v>
      </c>
      <c r="C847" s="3">
        <v>46276</v>
      </c>
      <c r="D847" t="s">
        <v>2</v>
      </c>
      <c r="E847" t="s">
        <v>0</v>
      </c>
      <c r="F847" s="5">
        <v>122437</v>
      </c>
      <c r="G847" s="5" t="str">
        <f>VLOOKUP(F847,'[1]46974159BCSET2026'!$F:$AE,26,0)</f>
        <v>Sim</v>
      </c>
      <c r="H847" t="s">
        <v>3</v>
      </c>
      <c r="I847" s="3">
        <v>46276</v>
      </c>
      <c r="J847" t="s">
        <v>4</v>
      </c>
      <c r="K847" t="s">
        <v>1234</v>
      </c>
      <c r="L847" t="s">
        <v>1235</v>
      </c>
      <c r="M847" s="8">
        <v>-5.14</v>
      </c>
      <c r="N847" t="s">
        <v>0</v>
      </c>
      <c r="O847" t="s">
        <v>7</v>
      </c>
      <c r="P847" t="s">
        <v>8</v>
      </c>
    </row>
    <row r="848" spans="1:16" ht="13.95" customHeight="1" x14ac:dyDescent="0.25">
      <c r="A848" s="2" t="s">
        <v>0</v>
      </c>
      <c r="B848" t="s">
        <v>1</v>
      </c>
      <c r="C848" s="3">
        <v>46276</v>
      </c>
      <c r="D848" t="s">
        <v>2</v>
      </c>
      <c r="E848" t="s">
        <v>0</v>
      </c>
      <c r="F848" s="5">
        <v>122438</v>
      </c>
      <c r="G848" s="5" t="str">
        <f>VLOOKUP(F848,'[1]46974159BCSET2026'!$F:$AE,26,0)</f>
        <v>Sim</v>
      </c>
      <c r="H848" t="s">
        <v>3</v>
      </c>
      <c r="I848" s="3">
        <v>46276</v>
      </c>
      <c r="J848" t="s">
        <v>4</v>
      </c>
      <c r="K848" t="s">
        <v>1236</v>
      </c>
      <c r="L848" t="s">
        <v>1237</v>
      </c>
      <c r="M848" s="8">
        <v>-5.14</v>
      </c>
      <c r="N848" t="s">
        <v>0</v>
      </c>
      <c r="O848" t="s">
        <v>7</v>
      </c>
      <c r="P848" t="s">
        <v>8</v>
      </c>
    </row>
    <row r="849" spans="1:16" ht="13.95" customHeight="1" x14ac:dyDescent="0.25">
      <c r="A849" s="2" t="s">
        <v>0</v>
      </c>
      <c r="B849" t="s">
        <v>1</v>
      </c>
      <c r="C849" s="3">
        <v>46276</v>
      </c>
      <c r="D849" t="s">
        <v>2</v>
      </c>
      <c r="E849" t="s">
        <v>0</v>
      </c>
      <c r="F849" s="5">
        <v>122439</v>
      </c>
      <c r="G849" s="5" t="str">
        <f>VLOOKUP(F849,'[1]46974159BCSET2026'!$F:$AE,26,0)</f>
        <v>Sim</v>
      </c>
      <c r="H849" t="s">
        <v>3</v>
      </c>
      <c r="I849" s="3">
        <v>46276</v>
      </c>
      <c r="J849" t="s">
        <v>4</v>
      </c>
      <c r="K849" t="s">
        <v>1238</v>
      </c>
      <c r="L849" t="s">
        <v>1239</v>
      </c>
      <c r="M849" s="8">
        <v>-5.14</v>
      </c>
      <c r="N849" t="s">
        <v>0</v>
      </c>
      <c r="O849" t="s">
        <v>7</v>
      </c>
      <c r="P849" t="s">
        <v>8</v>
      </c>
    </row>
    <row r="850" spans="1:16" ht="13.95" customHeight="1" x14ac:dyDescent="0.25">
      <c r="A850" s="2" t="s">
        <v>0</v>
      </c>
      <c r="B850" t="s">
        <v>1</v>
      </c>
      <c r="C850" s="3">
        <v>46276</v>
      </c>
      <c r="D850" t="s">
        <v>2</v>
      </c>
      <c r="E850" t="s">
        <v>0</v>
      </c>
      <c r="F850" s="5">
        <v>122440</v>
      </c>
      <c r="G850" s="5" t="str">
        <f>VLOOKUP(F850,'[1]46974159BCSET2026'!$F:$AE,26,0)</f>
        <v>Sim</v>
      </c>
      <c r="H850" t="s">
        <v>3</v>
      </c>
      <c r="I850" s="3">
        <v>46276</v>
      </c>
      <c r="J850" t="s">
        <v>4</v>
      </c>
      <c r="K850" t="s">
        <v>1240</v>
      </c>
      <c r="L850" t="s">
        <v>1241</v>
      </c>
      <c r="M850" s="8">
        <v>-5.14</v>
      </c>
      <c r="N850" t="s">
        <v>0</v>
      </c>
      <c r="O850" t="s">
        <v>7</v>
      </c>
      <c r="P850" t="s">
        <v>8</v>
      </c>
    </row>
    <row r="851" spans="1:16" ht="13.95" customHeight="1" x14ac:dyDescent="0.25">
      <c r="A851" s="2" t="s">
        <v>0</v>
      </c>
      <c r="B851" t="s">
        <v>1</v>
      </c>
      <c r="C851" s="3">
        <v>46276</v>
      </c>
      <c r="D851" t="s">
        <v>2</v>
      </c>
      <c r="E851" t="s">
        <v>0</v>
      </c>
      <c r="F851" s="5">
        <v>122441</v>
      </c>
      <c r="G851" s="5" t="str">
        <f>VLOOKUP(F851,'[1]46974159BCSET2026'!$F:$AE,26,0)</f>
        <v>Sim</v>
      </c>
      <c r="H851" t="s">
        <v>3</v>
      </c>
      <c r="I851" s="3">
        <v>46276</v>
      </c>
      <c r="J851" t="s">
        <v>4</v>
      </c>
      <c r="K851" t="s">
        <v>1242</v>
      </c>
      <c r="L851" t="s">
        <v>1243</v>
      </c>
      <c r="M851" s="8">
        <v>-5.14</v>
      </c>
      <c r="N851" t="s">
        <v>0</v>
      </c>
      <c r="O851" t="s">
        <v>7</v>
      </c>
      <c r="P851" t="s">
        <v>8</v>
      </c>
    </row>
    <row r="852" spans="1:16" ht="13.95" customHeight="1" x14ac:dyDescent="0.25">
      <c r="A852" s="2" t="s">
        <v>0</v>
      </c>
      <c r="B852" t="s">
        <v>1</v>
      </c>
      <c r="C852" s="3">
        <v>46276</v>
      </c>
      <c r="D852" t="s">
        <v>2</v>
      </c>
      <c r="E852" t="s">
        <v>0</v>
      </c>
      <c r="F852" s="5">
        <v>122442</v>
      </c>
      <c r="G852" s="5" t="str">
        <f>VLOOKUP(F852,'[1]46974159BCSET2026'!$F:$AE,26,0)</f>
        <v>Sim</v>
      </c>
      <c r="H852" t="s">
        <v>3</v>
      </c>
      <c r="I852" s="3">
        <v>46276</v>
      </c>
      <c r="J852" t="s">
        <v>4</v>
      </c>
      <c r="K852" t="s">
        <v>1244</v>
      </c>
      <c r="L852" t="s">
        <v>1245</v>
      </c>
      <c r="M852" s="8">
        <v>-5.14</v>
      </c>
      <c r="N852" t="s">
        <v>0</v>
      </c>
      <c r="O852" t="s">
        <v>7</v>
      </c>
      <c r="P852" t="s">
        <v>8</v>
      </c>
    </row>
    <row r="853" spans="1:16" ht="13.95" customHeight="1" x14ac:dyDescent="0.25">
      <c r="A853" s="2" t="s">
        <v>0</v>
      </c>
      <c r="B853" t="s">
        <v>1</v>
      </c>
      <c r="C853" s="3">
        <v>46276</v>
      </c>
      <c r="D853" t="s">
        <v>2</v>
      </c>
      <c r="E853" t="s">
        <v>0</v>
      </c>
      <c r="F853" s="5">
        <v>122443</v>
      </c>
      <c r="G853" s="5" t="str">
        <f>VLOOKUP(F853,'[1]46974159BCSET2026'!$F:$AE,26,0)</f>
        <v>Sim</v>
      </c>
      <c r="H853" t="s">
        <v>3</v>
      </c>
      <c r="I853" s="3">
        <v>46276</v>
      </c>
      <c r="J853" t="s">
        <v>4</v>
      </c>
      <c r="K853" t="s">
        <v>1246</v>
      </c>
      <c r="L853" t="s">
        <v>1247</v>
      </c>
      <c r="M853" s="8">
        <v>-5.14</v>
      </c>
      <c r="N853" t="s">
        <v>0</v>
      </c>
      <c r="O853" t="s">
        <v>7</v>
      </c>
      <c r="P853" t="s">
        <v>8</v>
      </c>
    </row>
    <row r="854" spans="1:16" ht="13.95" customHeight="1" x14ac:dyDescent="0.25">
      <c r="A854" s="2" t="s">
        <v>0</v>
      </c>
      <c r="B854" t="s">
        <v>1</v>
      </c>
      <c r="C854" s="3">
        <v>46276</v>
      </c>
      <c r="D854" t="s">
        <v>2</v>
      </c>
      <c r="E854" t="s">
        <v>0</v>
      </c>
      <c r="F854" s="5">
        <v>122446</v>
      </c>
      <c r="G854" s="5" t="str">
        <f>VLOOKUP(F854,'[1]46974159BCSET2026'!$F:$AE,26,0)</f>
        <v>Sim</v>
      </c>
      <c r="H854" t="s">
        <v>3</v>
      </c>
      <c r="I854" s="3">
        <v>46276</v>
      </c>
      <c r="J854" t="s">
        <v>4</v>
      </c>
      <c r="K854" t="s">
        <v>1248</v>
      </c>
      <c r="L854" t="s">
        <v>1249</v>
      </c>
      <c r="M854" s="8">
        <v>-5.14</v>
      </c>
      <c r="N854" t="s">
        <v>0</v>
      </c>
      <c r="O854" t="s">
        <v>7</v>
      </c>
      <c r="P854" t="s">
        <v>8</v>
      </c>
    </row>
    <row r="855" spans="1:16" ht="13.95" customHeight="1" x14ac:dyDescent="0.25">
      <c r="A855" s="2" t="s">
        <v>0</v>
      </c>
      <c r="B855" t="s">
        <v>1</v>
      </c>
      <c r="C855" s="3">
        <v>46276</v>
      </c>
      <c r="D855" t="s">
        <v>2</v>
      </c>
      <c r="E855" t="s">
        <v>0</v>
      </c>
      <c r="F855" s="5">
        <v>122613</v>
      </c>
      <c r="G855" s="5" t="str">
        <f>VLOOKUP(F855,'[1]46974159BCSET2026'!$F:$AE,26,0)</f>
        <v>Sim</v>
      </c>
      <c r="H855" t="s">
        <v>3</v>
      </c>
      <c r="I855" s="3">
        <v>46276</v>
      </c>
      <c r="J855" t="s">
        <v>4</v>
      </c>
      <c r="K855" t="s">
        <v>1250</v>
      </c>
      <c r="L855" t="s">
        <v>1251</v>
      </c>
      <c r="M855" s="8">
        <v>-5.14</v>
      </c>
      <c r="N855" t="s">
        <v>0</v>
      </c>
      <c r="O855" t="s">
        <v>7</v>
      </c>
      <c r="P855" t="s">
        <v>8</v>
      </c>
    </row>
    <row r="856" spans="1:16" ht="13.95" customHeight="1" x14ac:dyDescent="0.25">
      <c r="A856" s="2" t="s">
        <v>0</v>
      </c>
      <c r="B856" t="s">
        <v>1</v>
      </c>
      <c r="C856" s="3">
        <v>46276</v>
      </c>
      <c r="D856" t="s">
        <v>2</v>
      </c>
      <c r="E856" t="s">
        <v>0</v>
      </c>
      <c r="F856" s="5">
        <v>122451</v>
      </c>
      <c r="G856" s="5" t="str">
        <f>VLOOKUP(F856,'[1]46974159BCSET2026'!$F:$AE,26,0)</f>
        <v>Sim</v>
      </c>
      <c r="H856" t="s">
        <v>3</v>
      </c>
      <c r="I856" s="3">
        <v>46276</v>
      </c>
      <c r="J856" t="s">
        <v>4</v>
      </c>
      <c r="K856" t="s">
        <v>1252</v>
      </c>
      <c r="L856" t="s">
        <v>1253</v>
      </c>
      <c r="M856" s="8">
        <v>-5.14</v>
      </c>
      <c r="N856" t="s">
        <v>0</v>
      </c>
      <c r="O856" t="s">
        <v>7</v>
      </c>
      <c r="P856" t="s">
        <v>8</v>
      </c>
    </row>
    <row r="857" spans="1:16" ht="13.95" customHeight="1" x14ac:dyDescent="0.25">
      <c r="A857" s="2" t="s">
        <v>0</v>
      </c>
      <c r="B857" t="s">
        <v>1</v>
      </c>
      <c r="C857" s="3">
        <v>46276</v>
      </c>
      <c r="D857" t="s">
        <v>2</v>
      </c>
      <c r="E857" t="s">
        <v>0</v>
      </c>
      <c r="F857" s="5">
        <v>122797</v>
      </c>
      <c r="G857" s="5" t="str">
        <f>VLOOKUP(F857,'[1]46974159BCSET2026'!$F:$AE,26,0)</f>
        <v>Sim</v>
      </c>
      <c r="H857" t="s">
        <v>3</v>
      </c>
      <c r="I857" s="3">
        <v>46276</v>
      </c>
      <c r="J857" t="s">
        <v>4</v>
      </c>
      <c r="K857" t="s">
        <v>1254</v>
      </c>
      <c r="L857" t="s">
        <v>1255</v>
      </c>
      <c r="M857" s="8">
        <v>-5.14</v>
      </c>
      <c r="N857" t="s">
        <v>0</v>
      </c>
      <c r="O857" t="s">
        <v>7</v>
      </c>
      <c r="P857" t="s">
        <v>8</v>
      </c>
    </row>
    <row r="858" spans="1:16" ht="13.95" customHeight="1" x14ac:dyDescent="0.25">
      <c r="A858" s="2" t="s">
        <v>0</v>
      </c>
      <c r="B858" t="s">
        <v>1</v>
      </c>
      <c r="C858" s="3">
        <v>46276</v>
      </c>
      <c r="D858" t="s">
        <v>2</v>
      </c>
      <c r="E858" t="s">
        <v>0</v>
      </c>
      <c r="F858" s="5">
        <v>122469</v>
      </c>
      <c r="G858" s="5" t="str">
        <f>VLOOKUP(F858,'[1]46974159BCSET2026'!$F:$AE,26,0)</f>
        <v>Sim</v>
      </c>
      <c r="H858" t="s">
        <v>3</v>
      </c>
      <c r="I858" s="3">
        <v>46276</v>
      </c>
      <c r="J858" t="s">
        <v>4</v>
      </c>
      <c r="K858" t="s">
        <v>1256</v>
      </c>
      <c r="L858" t="s">
        <v>1257</v>
      </c>
      <c r="M858" s="8">
        <v>-5.14</v>
      </c>
      <c r="N858" t="s">
        <v>0</v>
      </c>
      <c r="O858" t="s">
        <v>7</v>
      </c>
      <c r="P858" t="s">
        <v>8</v>
      </c>
    </row>
    <row r="859" spans="1:16" ht="13.95" customHeight="1" x14ac:dyDescent="0.25">
      <c r="A859" s="2" t="s">
        <v>0</v>
      </c>
      <c r="B859" t="s">
        <v>1</v>
      </c>
      <c r="C859" s="3">
        <v>46276</v>
      </c>
      <c r="D859" t="s">
        <v>2</v>
      </c>
      <c r="E859" t="s">
        <v>0</v>
      </c>
      <c r="F859" s="5">
        <v>122470</v>
      </c>
      <c r="G859" s="5" t="str">
        <f>VLOOKUP(F859,'[1]46974159BCSET2026'!$F:$AE,26,0)</f>
        <v>Sim</v>
      </c>
      <c r="H859" t="s">
        <v>3</v>
      </c>
      <c r="I859" s="3">
        <v>46276</v>
      </c>
      <c r="J859" t="s">
        <v>4</v>
      </c>
      <c r="K859" t="s">
        <v>1258</v>
      </c>
      <c r="L859" t="s">
        <v>1259</v>
      </c>
      <c r="M859" s="8">
        <v>-5.14</v>
      </c>
      <c r="N859" t="s">
        <v>0</v>
      </c>
      <c r="O859" t="s">
        <v>7</v>
      </c>
      <c r="P859" t="s">
        <v>8</v>
      </c>
    </row>
    <row r="860" spans="1:16" ht="13.95" customHeight="1" x14ac:dyDescent="0.25">
      <c r="A860" s="2" t="s">
        <v>0</v>
      </c>
      <c r="B860" t="s">
        <v>1</v>
      </c>
      <c r="C860" s="3">
        <v>46276</v>
      </c>
      <c r="D860" t="s">
        <v>2</v>
      </c>
      <c r="E860" t="s">
        <v>0</v>
      </c>
      <c r="F860" s="5">
        <v>122802</v>
      </c>
      <c r="G860" s="5" t="str">
        <f>VLOOKUP(F860,'[1]46974159BCSET2026'!$F:$AE,26,0)</f>
        <v>Sim</v>
      </c>
      <c r="H860" t="s">
        <v>3</v>
      </c>
      <c r="I860" s="3">
        <v>46276</v>
      </c>
      <c r="J860" t="s">
        <v>4</v>
      </c>
      <c r="K860" t="s">
        <v>1260</v>
      </c>
      <c r="L860" t="s">
        <v>1261</v>
      </c>
      <c r="M860" s="8">
        <v>-5.14</v>
      </c>
      <c r="N860" t="s">
        <v>0</v>
      </c>
      <c r="O860" t="s">
        <v>7</v>
      </c>
      <c r="P860" t="s">
        <v>8</v>
      </c>
    </row>
    <row r="861" spans="1:16" ht="13.95" customHeight="1" x14ac:dyDescent="0.25">
      <c r="A861" s="2" t="s">
        <v>0</v>
      </c>
      <c r="B861" t="s">
        <v>1</v>
      </c>
      <c r="C861" s="3">
        <v>46276</v>
      </c>
      <c r="D861" t="s">
        <v>2</v>
      </c>
      <c r="E861" t="s">
        <v>0</v>
      </c>
      <c r="F861" s="5">
        <v>122476</v>
      </c>
      <c r="G861" s="5" t="str">
        <f>VLOOKUP(F861,'[1]46974159BCSET2026'!$F:$AE,26,0)</f>
        <v>Sim</v>
      </c>
      <c r="H861" t="s">
        <v>3</v>
      </c>
      <c r="I861" s="3">
        <v>46276</v>
      </c>
      <c r="J861" t="s">
        <v>4</v>
      </c>
      <c r="K861" t="s">
        <v>1262</v>
      </c>
      <c r="L861" t="s">
        <v>1263</v>
      </c>
      <c r="M861" s="8">
        <v>-5.14</v>
      </c>
      <c r="N861" t="s">
        <v>0</v>
      </c>
      <c r="O861" t="s">
        <v>7</v>
      </c>
      <c r="P861" t="s">
        <v>8</v>
      </c>
    </row>
    <row r="862" spans="1:16" ht="13.95" customHeight="1" x14ac:dyDescent="0.25">
      <c r="A862" s="2" t="s">
        <v>0</v>
      </c>
      <c r="B862" t="s">
        <v>1</v>
      </c>
      <c r="C862" s="3">
        <v>46276</v>
      </c>
      <c r="D862" t="s">
        <v>2</v>
      </c>
      <c r="E862" t="s">
        <v>0</v>
      </c>
      <c r="F862" s="5">
        <v>122478</v>
      </c>
      <c r="G862" s="5" t="str">
        <f>VLOOKUP(F862,'[1]46974159BCSET2026'!$F:$AE,26,0)</f>
        <v>Sim</v>
      </c>
      <c r="H862" t="s">
        <v>3</v>
      </c>
      <c r="I862" s="3">
        <v>46276</v>
      </c>
      <c r="J862" t="s">
        <v>4</v>
      </c>
      <c r="K862" t="s">
        <v>1264</v>
      </c>
      <c r="L862" t="s">
        <v>1265</v>
      </c>
      <c r="M862" s="8">
        <v>-5.14</v>
      </c>
      <c r="N862" t="s">
        <v>0</v>
      </c>
      <c r="O862" t="s">
        <v>7</v>
      </c>
      <c r="P862" t="s">
        <v>8</v>
      </c>
    </row>
    <row r="863" spans="1:16" ht="13.95" customHeight="1" x14ac:dyDescent="0.25">
      <c r="A863" s="2" t="s">
        <v>0</v>
      </c>
      <c r="B863" t="s">
        <v>1</v>
      </c>
      <c r="C863" s="3">
        <v>46276</v>
      </c>
      <c r="D863" t="s">
        <v>2</v>
      </c>
      <c r="E863" t="s">
        <v>0</v>
      </c>
      <c r="F863" s="5">
        <v>122479</v>
      </c>
      <c r="G863" s="5" t="str">
        <f>VLOOKUP(F863,'[1]46974159BCSET2026'!$F:$AE,26,0)</f>
        <v>Sim</v>
      </c>
      <c r="H863" t="s">
        <v>3</v>
      </c>
      <c r="I863" s="3">
        <v>46276</v>
      </c>
      <c r="J863" t="s">
        <v>4</v>
      </c>
      <c r="K863" t="s">
        <v>1266</v>
      </c>
      <c r="L863" t="s">
        <v>1267</v>
      </c>
      <c r="M863" s="8">
        <v>-5.14</v>
      </c>
      <c r="N863" t="s">
        <v>0</v>
      </c>
      <c r="O863" t="s">
        <v>7</v>
      </c>
      <c r="P863" t="s">
        <v>8</v>
      </c>
    </row>
    <row r="864" spans="1:16" ht="13.95" customHeight="1" x14ac:dyDescent="0.25">
      <c r="A864" s="2" t="s">
        <v>0</v>
      </c>
      <c r="B864" t="s">
        <v>1</v>
      </c>
      <c r="C864" s="3">
        <v>46276</v>
      </c>
      <c r="D864" t="s">
        <v>2</v>
      </c>
      <c r="E864" t="s">
        <v>0</v>
      </c>
      <c r="F864" s="5">
        <v>122487</v>
      </c>
      <c r="G864" s="5" t="str">
        <f>VLOOKUP(F864,'[1]46974159BCSET2026'!$F:$AE,26,0)</f>
        <v>Sim</v>
      </c>
      <c r="H864" t="s">
        <v>3</v>
      </c>
      <c r="I864" s="3">
        <v>46276</v>
      </c>
      <c r="J864" t="s">
        <v>4</v>
      </c>
      <c r="K864" t="s">
        <v>1268</v>
      </c>
      <c r="L864" t="s">
        <v>1269</v>
      </c>
      <c r="M864" s="8">
        <v>-5.14</v>
      </c>
      <c r="N864" t="s">
        <v>0</v>
      </c>
      <c r="O864" t="s">
        <v>7</v>
      </c>
      <c r="P864" t="s">
        <v>8</v>
      </c>
    </row>
    <row r="865" spans="1:16" ht="13.95" customHeight="1" x14ac:dyDescent="0.25">
      <c r="A865" s="2" t="s">
        <v>0</v>
      </c>
      <c r="B865" t="s">
        <v>1</v>
      </c>
      <c r="C865" s="3">
        <v>46276</v>
      </c>
      <c r="D865" t="s">
        <v>2</v>
      </c>
      <c r="E865" t="s">
        <v>0</v>
      </c>
      <c r="F865" s="5">
        <v>122492</v>
      </c>
      <c r="G865" s="5" t="str">
        <f>VLOOKUP(F865,'[1]46974159BCSET2026'!$F:$AE,26,0)</f>
        <v>Sim</v>
      </c>
      <c r="H865" t="s">
        <v>3</v>
      </c>
      <c r="I865" s="3">
        <v>46276</v>
      </c>
      <c r="J865" t="s">
        <v>4</v>
      </c>
      <c r="K865" t="s">
        <v>1270</v>
      </c>
      <c r="L865" t="s">
        <v>1271</v>
      </c>
      <c r="M865" s="8">
        <v>-5.14</v>
      </c>
      <c r="N865" t="s">
        <v>0</v>
      </c>
      <c r="O865" t="s">
        <v>7</v>
      </c>
      <c r="P865" t="s">
        <v>8</v>
      </c>
    </row>
    <row r="866" spans="1:16" ht="13.95" customHeight="1" x14ac:dyDescent="0.25">
      <c r="A866" s="2" t="s">
        <v>0</v>
      </c>
      <c r="B866" t="s">
        <v>1</v>
      </c>
      <c r="C866" s="3">
        <v>46276</v>
      </c>
      <c r="D866" t="s">
        <v>2</v>
      </c>
      <c r="E866" t="s">
        <v>0</v>
      </c>
      <c r="F866" s="5">
        <v>122494</v>
      </c>
      <c r="G866" s="5" t="str">
        <f>VLOOKUP(F866,'[1]46974159BCSET2026'!$F:$AE,26,0)</f>
        <v>Sim</v>
      </c>
      <c r="H866" t="s">
        <v>3</v>
      </c>
      <c r="I866" s="3">
        <v>46276</v>
      </c>
      <c r="J866" t="s">
        <v>4</v>
      </c>
      <c r="K866" t="s">
        <v>1272</v>
      </c>
      <c r="L866" t="s">
        <v>1273</v>
      </c>
      <c r="M866" s="8">
        <v>-5.14</v>
      </c>
      <c r="N866" t="s">
        <v>0</v>
      </c>
      <c r="O866" t="s">
        <v>7</v>
      </c>
      <c r="P866" t="s">
        <v>8</v>
      </c>
    </row>
    <row r="867" spans="1:16" ht="13.95" customHeight="1" x14ac:dyDescent="0.25">
      <c r="A867" s="2" t="s">
        <v>0</v>
      </c>
      <c r="B867" t="s">
        <v>1</v>
      </c>
      <c r="C867" s="3">
        <v>46276</v>
      </c>
      <c r="D867" t="s">
        <v>2</v>
      </c>
      <c r="E867" t="s">
        <v>0</v>
      </c>
      <c r="F867" s="5">
        <v>122810</v>
      </c>
      <c r="G867" s="5" t="str">
        <f>VLOOKUP(F867,'[1]46974159BCSET2026'!$F:$AE,26,0)</f>
        <v>Sim</v>
      </c>
      <c r="H867" t="s">
        <v>3</v>
      </c>
      <c r="I867" s="3">
        <v>46276</v>
      </c>
      <c r="J867" t="s">
        <v>4</v>
      </c>
      <c r="K867" t="s">
        <v>1274</v>
      </c>
      <c r="L867" t="s">
        <v>1275</v>
      </c>
      <c r="M867" s="8">
        <v>-5.14</v>
      </c>
      <c r="N867" t="s">
        <v>0</v>
      </c>
      <c r="O867" t="s">
        <v>7</v>
      </c>
      <c r="P867" t="s">
        <v>8</v>
      </c>
    </row>
    <row r="868" spans="1:16" ht="13.95" customHeight="1" x14ac:dyDescent="0.25">
      <c r="A868" s="2" t="s">
        <v>0</v>
      </c>
      <c r="B868" t="s">
        <v>1</v>
      </c>
      <c r="C868" s="3">
        <v>46276</v>
      </c>
      <c r="D868" t="s">
        <v>2</v>
      </c>
      <c r="E868" t="s">
        <v>0</v>
      </c>
      <c r="F868" s="5">
        <v>122626</v>
      </c>
      <c r="G868" s="5" t="str">
        <f>VLOOKUP(F868,'[1]46974159BCSET2026'!$F:$AE,26,0)</f>
        <v>Sim</v>
      </c>
      <c r="H868" t="s">
        <v>3</v>
      </c>
      <c r="I868" s="3">
        <v>46276</v>
      </c>
      <c r="J868" t="s">
        <v>4</v>
      </c>
      <c r="K868" t="s">
        <v>1276</v>
      </c>
      <c r="L868" t="s">
        <v>1277</v>
      </c>
      <c r="M868" s="8">
        <v>-5.14</v>
      </c>
      <c r="N868" t="s">
        <v>0</v>
      </c>
      <c r="O868" t="s">
        <v>7</v>
      </c>
      <c r="P868" t="s">
        <v>8</v>
      </c>
    </row>
    <row r="869" spans="1:16" ht="13.95" customHeight="1" x14ac:dyDescent="0.25">
      <c r="A869" s="2" t="s">
        <v>0</v>
      </c>
      <c r="B869" t="s">
        <v>1</v>
      </c>
      <c r="C869" s="3">
        <v>46276</v>
      </c>
      <c r="D869" t="s">
        <v>2</v>
      </c>
      <c r="E869" t="s">
        <v>0</v>
      </c>
      <c r="F869" s="5">
        <v>122688</v>
      </c>
      <c r="G869" s="5" t="str">
        <f>VLOOKUP(F869,'[1]46974159BCSET2026'!$F:$AE,26,0)</f>
        <v>Sim</v>
      </c>
      <c r="H869" t="s">
        <v>3</v>
      </c>
      <c r="I869" s="3">
        <v>46276</v>
      </c>
      <c r="J869" t="s">
        <v>4</v>
      </c>
      <c r="K869" t="s">
        <v>243</v>
      </c>
      <c r="L869" t="s">
        <v>244</v>
      </c>
      <c r="M869" s="8">
        <v>-3.43</v>
      </c>
      <c r="N869" t="s">
        <v>0</v>
      </c>
      <c r="O869" t="s">
        <v>7</v>
      </c>
      <c r="P869" t="s">
        <v>8</v>
      </c>
    </row>
    <row r="870" spans="1:16" ht="13.95" customHeight="1" x14ac:dyDescent="0.25">
      <c r="A870" s="2" t="s">
        <v>0</v>
      </c>
      <c r="B870" t="s">
        <v>1</v>
      </c>
      <c r="C870" s="3">
        <v>46276</v>
      </c>
      <c r="D870" t="s">
        <v>2</v>
      </c>
      <c r="E870" t="s">
        <v>0</v>
      </c>
      <c r="F870" s="5">
        <v>122201</v>
      </c>
      <c r="G870" s="5" t="str">
        <f>VLOOKUP(F870,'[1]46974159BCSET2026'!$F:$AE,26,0)</f>
        <v>Sim</v>
      </c>
      <c r="H870" t="s">
        <v>3</v>
      </c>
      <c r="I870" s="3">
        <v>46276</v>
      </c>
      <c r="J870" t="s">
        <v>4</v>
      </c>
      <c r="K870" t="s">
        <v>133</v>
      </c>
      <c r="L870" t="s">
        <v>134</v>
      </c>
      <c r="M870" s="8">
        <v>-3.33</v>
      </c>
      <c r="N870" t="s">
        <v>0</v>
      </c>
      <c r="O870" t="s">
        <v>7</v>
      </c>
      <c r="P870" t="s">
        <v>8</v>
      </c>
    </row>
    <row r="871" spans="1:16" ht="13.95" customHeight="1" x14ac:dyDescent="0.25">
      <c r="A871" s="2" t="s">
        <v>0</v>
      </c>
      <c r="B871" t="s">
        <v>1</v>
      </c>
      <c r="C871" s="3">
        <v>46276</v>
      </c>
      <c r="D871" t="s">
        <v>2</v>
      </c>
      <c r="E871" t="s">
        <v>0</v>
      </c>
      <c r="F871" s="5">
        <v>122206</v>
      </c>
      <c r="G871" s="5" t="str">
        <f>VLOOKUP(F871,'[1]46974159BCSET2026'!$F:$AE,26,0)</f>
        <v>Sim</v>
      </c>
      <c r="H871" t="s">
        <v>3</v>
      </c>
      <c r="I871" s="3">
        <v>46276</v>
      </c>
      <c r="J871" t="s">
        <v>4</v>
      </c>
      <c r="K871" t="s">
        <v>189</v>
      </c>
      <c r="L871" t="s">
        <v>190</v>
      </c>
      <c r="M871" s="8">
        <v>-1.63</v>
      </c>
      <c r="N871" t="s">
        <v>0</v>
      </c>
      <c r="O871" t="s">
        <v>7</v>
      </c>
      <c r="P871" t="s">
        <v>8</v>
      </c>
    </row>
    <row r="872" spans="1:16" ht="13.95" customHeight="1" x14ac:dyDescent="0.25">
      <c r="A872" s="2" t="s">
        <v>0</v>
      </c>
      <c r="B872" t="s">
        <v>1</v>
      </c>
      <c r="C872" s="3">
        <v>46276</v>
      </c>
      <c r="D872" t="s">
        <v>2</v>
      </c>
      <c r="E872" t="s">
        <v>0</v>
      </c>
      <c r="F872" s="5">
        <v>122206</v>
      </c>
      <c r="G872" s="5" t="str">
        <f>VLOOKUP(F872,'[1]46974159BCSET2026'!$F:$AE,26,0)</f>
        <v>Sim</v>
      </c>
      <c r="H872" t="s">
        <v>3</v>
      </c>
      <c r="I872" s="3">
        <v>46276</v>
      </c>
      <c r="J872" t="s">
        <v>4</v>
      </c>
      <c r="K872" t="s">
        <v>189</v>
      </c>
      <c r="L872" t="s">
        <v>190</v>
      </c>
      <c r="M872" s="8">
        <v>-1.63</v>
      </c>
      <c r="N872" t="s">
        <v>0</v>
      </c>
      <c r="O872" t="s">
        <v>7</v>
      </c>
      <c r="P872" t="s">
        <v>8</v>
      </c>
    </row>
    <row r="873" spans="1:16" ht="13.95" customHeight="1" x14ac:dyDescent="0.25">
      <c r="A873" s="2" t="s">
        <v>0</v>
      </c>
      <c r="B873" t="s">
        <v>1</v>
      </c>
      <c r="C873" s="3">
        <v>46276</v>
      </c>
      <c r="D873" t="s">
        <v>2</v>
      </c>
      <c r="E873" t="s">
        <v>0</v>
      </c>
      <c r="F873" s="5">
        <v>122251</v>
      </c>
      <c r="G873" s="5" t="str">
        <f>VLOOKUP(F873,'[1]46974159BCSET2026'!$F:$AE,26,0)</f>
        <v>Sim</v>
      </c>
      <c r="H873" t="s">
        <v>3</v>
      </c>
      <c r="I873" s="3">
        <v>46276</v>
      </c>
      <c r="J873" t="s">
        <v>4</v>
      </c>
      <c r="K873" t="s">
        <v>179</v>
      </c>
      <c r="L873" t="s">
        <v>180</v>
      </c>
      <c r="M873" s="8">
        <v>-0.92</v>
      </c>
      <c r="N873" t="s">
        <v>0</v>
      </c>
      <c r="O873" t="s">
        <v>7</v>
      </c>
      <c r="P873" t="s">
        <v>8</v>
      </c>
    </row>
    <row r="874" spans="1:16" ht="13.95" customHeight="1" x14ac:dyDescent="0.25">
      <c r="A874" s="2" t="s">
        <v>0</v>
      </c>
      <c r="B874" t="s">
        <v>1</v>
      </c>
      <c r="C874" s="3">
        <v>46276</v>
      </c>
      <c r="D874" t="s">
        <v>2</v>
      </c>
      <c r="E874" t="s">
        <v>0</v>
      </c>
      <c r="F874" s="5">
        <v>122497</v>
      </c>
      <c r="G874" s="5" t="str">
        <f>VLOOKUP(F874,'[1]46974159BCSET2026'!$F:$AE,26,0)</f>
        <v>Sim</v>
      </c>
      <c r="H874" t="s">
        <v>3</v>
      </c>
      <c r="I874" s="3">
        <v>46276</v>
      </c>
      <c r="J874" t="s">
        <v>4</v>
      </c>
      <c r="K874" t="s">
        <v>131</v>
      </c>
      <c r="L874" t="s">
        <v>132</v>
      </c>
      <c r="M874" s="8">
        <v>-0.53</v>
      </c>
      <c r="N874" t="s">
        <v>0</v>
      </c>
      <c r="O874" t="s">
        <v>7</v>
      </c>
      <c r="P874" t="s">
        <v>8</v>
      </c>
    </row>
    <row r="875" spans="1:16" ht="13.95" customHeight="1" x14ac:dyDescent="0.25">
      <c r="A875" s="2" t="s">
        <v>0</v>
      </c>
      <c r="B875" t="s">
        <v>1</v>
      </c>
      <c r="C875" s="3">
        <v>46276</v>
      </c>
      <c r="D875" t="s">
        <v>2</v>
      </c>
      <c r="E875" t="s">
        <v>0</v>
      </c>
      <c r="F875" s="5">
        <v>122500</v>
      </c>
      <c r="G875" s="5" t="str">
        <f>VLOOKUP(F875,'[1]46974159BCSET2026'!$F:$AE,26,0)</f>
        <v>Sim</v>
      </c>
      <c r="H875" t="s">
        <v>3</v>
      </c>
      <c r="I875" s="3">
        <v>46276</v>
      </c>
      <c r="J875" t="s">
        <v>4</v>
      </c>
      <c r="K875" t="s">
        <v>71</v>
      </c>
      <c r="L875" t="s">
        <v>72</v>
      </c>
      <c r="M875" s="8">
        <v>-0.01</v>
      </c>
      <c r="N875" t="s">
        <v>0</v>
      </c>
      <c r="O875" t="s">
        <v>7</v>
      </c>
      <c r="P875" t="s">
        <v>8</v>
      </c>
    </row>
    <row r="876" spans="1:16" ht="13.95" customHeight="1" x14ac:dyDescent="0.25">
      <c r="A876" s="2" t="s">
        <v>0</v>
      </c>
      <c r="B876" t="s">
        <v>1</v>
      </c>
      <c r="C876" s="3">
        <v>46276</v>
      </c>
      <c r="D876" t="s">
        <v>2</v>
      </c>
      <c r="E876" t="s">
        <v>0</v>
      </c>
      <c r="F876" s="5">
        <v>122196</v>
      </c>
      <c r="G876" s="5" t="str">
        <f>VLOOKUP(F876,'[1]46974159BCSET2026'!$F:$AE,26,0)</f>
        <v>Sim</v>
      </c>
      <c r="H876" t="s">
        <v>3</v>
      </c>
      <c r="I876" s="3">
        <v>46276</v>
      </c>
      <c r="J876" t="s">
        <v>4</v>
      </c>
      <c r="K876" t="s">
        <v>155</v>
      </c>
      <c r="L876" t="s">
        <v>156</v>
      </c>
      <c r="M876" s="8">
        <v>-0.01</v>
      </c>
      <c r="N876" t="s">
        <v>0</v>
      </c>
      <c r="O876" t="s">
        <v>7</v>
      </c>
      <c r="P876" t="s">
        <v>8</v>
      </c>
    </row>
    <row r="877" spans="1:16" ht="13.95" customHeight="1" x14ac:dyDescent="0.25">
      <c r="A877" s="2" t="s">
        <v>0</v>
      </c>
      <c r="B877" t="s">
        <v>1</v>
      </c>
      <c r="C877" s="3">
        <v>46276</v>
      </c>
      <c r="D877" t="s">
        <v>2</v>
      </c>
      <c r="E877" t="s">
        <v>0</v>
      </c>
      <c r="F877" s="5">
        <v>122199</v>
      </c>
      <c r="G877" s="5" t="str">
        <f>VLOOKUP(F877,'[1]46974159BCSET2026'!$F:$AE,26,0)</f>
        <v>Sim</v>
      </c>
      <c r="H877" t="s">
        <v>3</v>
      </c>
      <c r="I877" s="3">
        <v>46276</v>
      </c>
      <c r="J877" t="s">
        <v>4</v>
      </c>
      <c r="K877" t="s">
        <v>95</v>
      </c>
      <c r="L877" t="s">
        <v>96</v>
      </c>
      <c r="M877" s="8">
        <v>-0.01</v>
      </c>
      <c r="N877" t="s">
        <v>0</v>
      </c>
      <c r="O877" t="s">
        <v>7</v>
      </c>
      <c r="P877" t="s">
        <v>8</v>
      </c>
    </row>
    <row r="878" spans="1:16" ht="13.95" customHeight="1" x14ac:dyDescent="0.25">
      <c r="A878" s="2" t="s">
        <v>0</v>
      </c>
      <c r="B878" t="s">
        <v>1</v>
      </c>
      <c r="C878" s="3">
        <v>46276</v>
      </c>
      <c r="D878" t="s">
        <v>2</v>
      </c>
      <c r="E878" t="s">
        <v>0</v>
      </c>
      <c r="F878" s="5">
        <v>122501</v>
      </c>
      <c r="G878" s="5" t="str">
        <f>VLOOKUP(F878,'[1]46974159BCSET2026'!$F:$AE,26,0)</f>
        <v>Sim</v>
      </c>
      <c r="H878" t="s">
        <v>3</v>
      </c>
      <c r="I878" s="3">
        <v>46276</v>
      </c>
      <c r="J878" t="s">
        <v>4</v>
      </c>
      <c r="K878" t="s">
        <v>79</v>
      </c>
      <c r="L878" t="s">
        <v>80</v>
      </c>
      <c r="M878" s="8">
        <v>-0.01</v>
      </c>
      <c r="N878" t="s">
        <v>0</v>
      </c>
      <c r="O878" t="s">
        <v>7</v>
      </c>
      <c r="P878" t="s">
        <v>8</v>
      </c>
    </row>
    <row r="879" spans="1:16" ht="13.95" customHeight="1" x14ac:dyDescent="0.25">
      <c r="A879" s="2" t="s">
        <v>0</v>
      </c>
      <c r="B879" t="s">
        <v>1</v>
      </c>
      <c r="C879" s="3">
        <v>46276</v>
      </c>
      <c r="D879" t="s">
        <v>2</v>
      </c>
      <c r="E879" t="s">
        <v>0</v>
      </c>
      <c r="F879" s="5">
        <v>122638</v>
      </c>
      <c r="G879" s="5" t="str">
        <f>VLOOKUP(F879,'[1]46974159BCSET2026'!$F:$AE,26,0)</f>
        <v>Sim</v>
      </c>
      <c r="H879" t="s">
        <v>3</v>
      </c>
      <c r="I879" s="3">
        <v>46276</v>
      </c>
      <c r="J879" t="s">
        <v>4</v>
      </c>
      <c r="K879" t="s">
        <v>91</v>
      </c>
      <c r="L879" t="s">
        <v>92</v>
      </c>
      <c r="M879" s="8">
        <v>-0.01</v>
      </c>
      <c r="N879" t="s">
        <v>0</v>
      </c>
      <c r="O879" t="s">
        <v>7</v>
      </c>
      <c r="P879" t="s">
        <v>8</v>
      </c>
    </row>
    <row r="880" spans="1:16" ht="13.95" customHeight="1" x14ac:dyDescent="0.25">
      <c r="A880" s="2" t="s">
        <v>0</v>
      </c>
      <c r="B880" t="s">
        <v>1</v>
      </c>
      <c r="C880" s="3">
        <v>46276</v>
      </c>
      <c r="D880" t="s">
        <v>2</v>
      </c>
      <c r="E880" t="s">
        <v>0</v>
      </c>
      <c r="F880" s="5">
        <v>122206</v>
      </c>
      <c r="G880" s="5" t="str">
        <f>VLOOKUP(F880,'[1]46974159BCSET2026'!$F:$AE,26,0)</f>
        <v>Sim</v>
      </c>
      <c r="H880" t="s">
        <v>3</v>
      </c>
      <c r="I880" s="3">
        <v>46276</v>
      </c>
      <c r="J880" t="s">
        <v>4</v>
      </c>
      <c r="K880" t="s">
        <v>189</v>
      </c>
      <c r="L880" t="s">
        <v>190</v>
      </c>
      <c r="M880" s="8">
        <v>-0.01</v>
      </c>
      <c r="N880" t="s">
        <v>0</v>
      </c>
      <c r="O880" t="s">
        <v>7</v>
      </c>
      <c r="P880" t="s">
        <v>8</v>
      </c>
    </row>
    <row r="881" spans="1:16" ht="13.95" customHeight="1" x14ac:dyDescent="0.25">
      <c r="A881" s="2" t="s">
        <v>0</v>
      </c>
      <c r="B881" t="s">
        <v>1</v>
      </c>
      <c r="C881" s="3">
        <v>46276</v>
      </c>
      <c r="D881" t="s">
        <v>2</v>
      </c>
      <c r="E881" t="s">
        <v>0</v>
      </c>
      <c r="F881" s="5">
        <v>122212</v>
      </c>
      <c r="G881" s="5" t="str">
        <f>VLOOKUP(F881,'[1]46974159BCSET2026'!$F:$AE,26,0)</f>
        <v>Sim</v>
      </c>
      <c r="H881" t="s">
        <v>3</v>
      </c>
      <c r="I881" s="3">
        <v>46276</v>
      </c>
      <c r="J881" t="s">
        <v>4</v>
      </c>
      <c r="K881" t="s">
        <v>145</v>
      </c>
      <c r="L881" t="s">
        <v>146</v>
      </c>
      <c r="M881" s="8">
        <v>-0.01</v>
      </c>
      <c r="N881" t="s">
        <v>0</v>
      </c>
      <c r="O881" t="s">
        <v>7</v>
      </c>
      <c r="P881" t="s">
        <v>8</v>
      </c>
    </row>
    <row r="882" spans="1:16" ht="13.95" customHeight="1" x14ac:dyDescent="0.25">
      <c r="A882" s="2" t="s">
        <v>0</v>
      </c>
      <c r="B882" t="s">
        <v>1</v>
      </c>
      <c r="C882" s="3">
        <v>46276</v>
      </c>
      <c r="D882" t="s">
        <v>2</v>
      </c>
      <c r="E882" t="s">
        <v>0</v>
      </c>
      <c r="F882" s="5">
        <v>122504</v>
      </c>
      <c r="G882" s="5" t="str">
        <f>VLOOKUP(F882,'[1]46974159BCSET2026'!$F:$AE,26,0)</f>
        <v>Sim</v>
      </c>
      <c r="H882" t="s">
        <v>3</v>
      </c>
      <c r="I882" s="3">
        <v>46276</v>
      </c>
      <c r="J882" t="s">
        <v>4</v>
      </c>
      <c r="K882" t="s">
        <v>129</v>
      </c>
      <c r="L882" t="s">
        <v>130</v>
      </c>
      <c r="M882" s="8">
        <v>-0.01</v>
      </c>
      <c r="N882" t="s">
        <v>0</v>
      </c>
      <c r="O882" t="s">
        <v>7</v>
      </c>
      <c r="P882" t="s">
        <v>8</v>
      </c>
    </row>
    <row r="883" spans="1:16" ht="13.95" customHeight="1" x14ac:dyDescent="0.25">
      <c r="A883" s="2" t="s">
        <v>0</v>
      </c>
      <c r="B883" t="s">
        <v>1</v>
      </c>
      <c r="C883" s="3">
        <v>46276</v>
      </c>
      <c r="D883" t="s">
        <v>2</v>
      </c>
      <c r="E883" t="s">
        <v>0</v>
      </c>
      <c r="F883" s="5">
        <v>122243</v>
      </c>
      <c r="G883" s="5" t="str">
        <f>VLOOKUP(F883,'[1]46974159BCSET2026'!$F:$AE,26,0)</f>
        <v>Sim</v>
      </c>
      <c r="H883" t="s">
        <v>3</v>
      </c>
      <c r="I883" s="3">
        <v>46276</v>
      </c>
      <c r="J883" t="s">
        <v>4</v>
      </c>
      <c r="K883" t="s">
        <v>11</v>
      </c>
      <c r="L883" t="s">
        <v>12</v>
      </c>
      <c r="M883" s="8">
        <v>-0.01</v>
      </c>
      <c r="N883" t="s">
        <v>0</v>
      </c>
      <c r="O883" t="s">
        <v>7</v>
      </c>
      <c r="P883" t="s">
        <v>8</v>
      </c>
    </row>
    <row r="884" spans="1:16" ht="13.95" customHeight="1" x14ac:dyDescent="0.25">
      <c r="A884" s="2" t="s">
        <v>0</v>
      </c>
      <c r="B884" t="s">
        <v>1</v>
      </c>
      <c r="C884" s="3">
        <v>46276</v>
      </c>
      <c r="D884" t="s">
        <v>2</v>
      </c>
      <c r="E884" t="s">
        <v>0</v>
      </c>
      <c r="F884" s="5">
        <v>122530</v>
      </c>
      <c r="G884" s="5" t="str">
        <f>VLOOKUP(F884,'[1]46974159BCSET2026'!$F:$AE,26,0)</f>
        <v>Sim</v>
      </c>
      <c r="H884" t="s">
        <v>3</v>
      </c>
      <c r="I884" s="3">
        <v>46276</v>
      </c>
      <c r="J884" t="s">
        <v>4</v>
      </c>
      <c r="K884" t="s">
        <v>109</v>
      </c>
      <c r="L884" t="s">
        <v>110</v>
      </c>
      <c r="M884" s="8">
        <v>-0.01</v>
      </c>
      <c r="N884" t="s">
        <v>0</v>
      </c>
      <c r="O884" t="s">
        <v>7</v>
      </c>
      <c r="P884" t="s">
        <v>8</v>
      </c>
    </row>
    <row r="885" spans="1:16" ht="13.95" customHeight="1" x14ac:dyDescent="0.25">
      <c r="A885" s="2" t="s">
        <v>0</v>
      </c>
      <c r="B885" t="s">
        <v>1</v>
      </c>
      <c r="C885" s="3">
        <v>46276</v>
      </c>
      <c r="D885" t="s">
        <v>2</v>
      </c>
      <c r="E885" t="s">
        <v>0</v>
      </c>
      <c r="F885" s="5">
        <v>122692</v>
      </c>
      <c r="G885" s="5" t="str">
        <f>VLOOKUP(F885,'[1]46974159BCSET2026'!$F:$AE,26,0)</f>
        <v>Sim</v>
      </c>
      <c r="H885" t="s">
        <v>3</v>
      </c>
      <c r="I885" s="3">
        <v>46276</v>
      </c>
      <c r="J885" t="s">
        <v>4</v>
      </c>
      <c r="K885" t="s">
        <v>54</v>
      </c>
      <c r="L885" t="s">
        <v>55</v>
      </c>
      <c r="M885" s="8">
        <v>-0.01</v>
      </c>
      <c r="N885" t="s">
        <v>0</v>
      </c>
      <c r="O885" t="s">
        <v>7</v>
      </c>
      <c r="P885" t="s">
        <v>8</v>
      </c>
    </row>
    <row r="886" spans="1:16" ht="13.95" customHeight="1" x14ac:dyDescent="0.25">
      <c r="A886" s="2" t="s">
        <v>0</v>
      </c>
      <c r="B886" t="s">
        <v>1</v>
      </c>
      <c r="C886" s="3">
        <v>46276</v>
      </c>
      <c r="D886" t="s">
        <v>2</v>
      </c>
      <c r="E886" t="s">
        <v>0</v>
      </c>
      <c r="F886" s="5">
        <v>122724</v>
      </c>
      <c r="G886" s="5" t="str">
        <f>VLOOKUP(F886,'[1]46974159BCSET2026'!$F:$AE,26,0)</f>
        <v>Sim</v>
      </c>
      <c r="H886" t="s">
        <v>3</v>
      </c>
      <c r="I886" s="3">
        <v>46276</v>
      </c>
      <c r="J886" t="s">
        <v>4</v>
      </c>
      <c r="K886" t="s">
        <v>193</v>
      </c>
      <c r="L886" t="s">
        <v>194</v>
      </c>
      <c r="M886" s="8">
        <v>-0.01</v>
      </c>
      <c r="N886" t="s">
        <v>0</v>
      </c>
      <c r="O886" t="s">
        <v>7</v>
      </c>
      <c r="P886" t="s">
        <v>8</v>
      </c>
    </row>
    <row r="887" spans="1:16" ht="13.95" customHeight="1" x14ac:dyDescent="0.25">
      <c r="A887" s="2" t="s">
        <v>0</v>
      </c>
      <c r="B887" t="s">
        <v>1</v>
      </c>
      <c r="C887" s="3">
        <v>46276</v>
      </c>
      <c r="D887" t="s">
        <v>2</v>
      </c>
      <c r="E887" t="s">
        <v>0</v>
      </c>
      <c r="F887" s="5">
        <v>122737</v>
      </c>
      <c r="G887" s="5" t="str">
        <f>VLOOKUP(F887,'[1]46974159BCSET2026'!$F:$AE,26,0)</f>
        <v>Sim</v>
      </c>
      <c r="H887" t="s">
        <v>3</v>
      </c>
      <c r="I887" s="3">
        <v>46276</v>
      </c>
      <c r="J887" t="s">
        <v>4</v>
      </c>
      <c r="K887" t="s">
        <v>89</v>
      </c>
      <c r="L887" t="s">
        <v>90</v>
      </c>
      <c r="M887" s="8">
        <v>-0.01</v>
      </c>
      <c r="N887" t="s">
        <v>0</v>
      </c>
      <c r="O887" t="s">
        <v>7</v>
      </c>
      <c r="P887" t="s">
        <v>8</v>
      </c>
    </row>
    <row r="888" spans="1:16" ht="13.95" customHeight="1" x14ac:dyDescent="0.25">
      <c r="A888" s="2" t="s">
        <v>0</v>
      </c>
      <c r="B888" t="s">
        <v>1</v>
      </c>
      <c r="C888" s="3">
        <v>46276</v>
      </c>
      <c r="D888" t="s">
        <v>2</v>
      </c>
      <c r="E888" t="s">
        <v>0</v>
      </c>
      <c r="F888" s="5">
        <v>122321</v>
      </c>
      <c r="G888" s="5" t="str">
        <f>VLOOKUP(F888,'[1]46974159BCSET2026'!$F:$AE,26,0)</f>
        <v>Sim</v>
      </c>
      <c r="H888" t="s">
        <v>3</v>
      </c>
      <c r="I888" s="3">
        <v>46276</v>
      </c>
      <c r="J888" t="s">
        <v>4</v>
      </c>
      <c r="K888" t="s">
        <v>169</v>
      </c>
      <c r="L888" t="s">
        <v>170</v>
      </c>
      <c r="M888" s="8">
        <v>-0.01</v>
      </c>
      <c r="N888" t="s">
        <v>0</v>
      </c>
      <c r="O888" t="s">
        <v>7</v>
      </c>
      <c r="P888" t="s">
        <v>8</v>
      </c>
    </row>
    <row r="889" spans="1:16" ht="13.95" customHeight="1" x14ac:dyDescent="0.25">
      <c r="A889" s="2" t="s">
        <v>0</v>
      </c>
      <c r="B889" t="s">
        <v>1</v>
      </c>
      <c r="C889" s="3">
        <v>46276</v>
      </c>
      <c r="D889" t="s">
        <v>2</v>
      </c>
      <c r="E889" t="s">
        <v>0</v>
      </c>
      <c r="F889" s="5">
        <v>122328</v>
      </c>
      <c r="G889" s="5" t="str">
        <f>VLOOKUP(F889,'[1]46974159BCSET2026'!$F:$AE,26,0)</f>
        <v>Sim</v>
      </c>
      <c r="H889" t="s">
        <v>3</v>
      </c>
      <c r="I889" s="3">
        <v>46276</v>
      </c>
      <c r="J889" t="s">
        <v>4</v>
      </c>
      <c r="K889" t="s">
        <v>149</v>
      </c>
      <c r="L889" t="s">
        <v>150</v>
      </c>
      <c r="M889" s="8">
        <v>-0.01</v>
      </c>
      <c r="N889" t="s">
        <v>0</v>
      </c>
      <c r="O889" t="s">
        <v>7</v>
      </c>
      <c r="P889" t="s">
        <v>8</v>
      </c>
    </row>
    <row r="890" spans="1:16" ht="13.95" customHeight="1" x14ac:dyDescent="0.25">
      <c r="A890" s="2" t="s">
        <v>0</v>
      </c>
      <c r="B890" t="s">
        <v>1</v>
      </c>
      <c r="C890" s="3">
        <v>46276</v>
      </c>
      <c r="D890" t="s">
        <v>2</v>
      </c>
      <c r="E890" t="s">
        <v>0</v>
      </c>
      <c r="F890" s="5">
        <v>122364</v>
      </c>
      <c r="G890" s="5" t="str">
        <f>VLOOKUP(F890,'[1]46974159BCSET2026'!$F:$AE,26,0)</f>
        <v>Sim</v>
      </c>
      <c r="H890" t="s">
        <v>3</v>
      </c>
      <c r="I890" s="3">
        <v>46276</v>
      </c>
      <c r="J890" t="s">
        <v>4</v>
      </c>
      <c r="K890" t="s">
        <v>309</v>
      </c>
      <c r="L890" t="s">
        <v>310</v>
      </c>
      <c r="M890" s="8">
        <v>-0.01</v>
      </c>
      <c r="N890" t="s">
        <v>0</v>
      </c>
      <c r="O890" t="s">
        <v>7</v>
      </c>
      <c r="P890" t="s">
        <v>8</v>
      </c>
    </row>
    <row r="891" spans="1:16" ht="13.95" customHeight="1" x14ac:dyDescent="0.25">
      <c r="A891" s="2" t="s">
        <v>0</v>
      </c>
      <c r="B891" t="s">
        <v>1</v>
      </c>
      <c r="C891" s="3">
        <v>46276</v>
      </c>
      <c r="D891" t="s">
        <v>2</v>
      </c>
      <c r="E891" t="s">
        <v>0</v>
      </c>
      <c r="F891" s="5">
        <v>122591</v>
      </c>
      <c r="G891" s="5" t="str">
        <f>VLOOKUP(F891,'[1]46974159BCSET2026'!$F:$AE,26,0)</f>
        <v>Sim</v>
      </c>
      <c r="H891" t="s">
        <v>3</v>
      </c>
      <c r="I891" s="3">
        <v>46276</v>
      </c>
      <c r="J891" t="s">
        <v>4</v>
      </c>
      <c r="K891" t="s">
        <v>245</v>
      </c>
      <c r="L891" t="s">
        <v>246</v>
      </c>
      <c r="M891" s="8">
        <v>-0.01</v>
      </c>
      <c r="N891" t="s">
        <v>0</v>
      </c>
      <c r="O891" t="s">
        <v>7</v>
      </c>
      <c r="P891" t="s">
        <v>8</v>
      </c>
    </row>
    <row r="892" spans="1:16" ht="13.95" customHeight="1" x14ac:dyDescent="0.25">
      <c r="A892" s="2" t="s">
        <v>0</v>
      </c>
      <c r="B892" t="s">
        <v>1</v>
      </c>
      <c r="C892" s="3">
        <v>46276</v>
      </c>
      <c r="D892" t="s">
        <v>2</v>
      </c>
      <c r="E892" t="s">
        <v>0</v>
      </c>
      <c r="F892" s="5">
        <v>122383</v>
      </c>
      <c r="G892" s="5" t="str">
        <f>VLOOKUP(F892,'[1]46974159BCSET2026'!$F:$AE,26,0)</f>
        <v>Sim</v>
      </c>
      <c r="H892" t="s">
        <v>3</v>
      </c>
      <c r="I892" s="3">
        <v>46276</v>
      </c>
      <c r="J892" t="s">
        <v>4</v>
      </c>
      <c r="K892" t="s">
        <v>101</v>
      </c>
      <c r="L892" t="s">
        <v>102</v>
      </c>
      <c r="M892" s="8">
        <v>-0.01</v>
      </c>
      <c r="N892" t="s">
        <v>0</v>
      </c>
      <c r="O892" t="s">
        <v>7</v>
      </c>
      <c r="P892" t="s">
        <v>8</v>
      </c>
    </row>
    <row r="893" spans="1:16" ht="13.95" customHeight="1" x14ac:dyDescent="0.25">
      <c r="A893" s="2" t="s">
        <v>0</v>
      </c>
      <c r="B893" t="s">
        <v>1</v>
      </c>
      <c r="C893" s="3">
        <v>46276</v>
      </c>
      <c r="D893" t="s">
        <v>2</v>
      </c>
      <c r="E893" t="s">
        <v>0</v>
      </c>
      <c r="F893" s="5">
        <v>122773</v>
      </c>
      <c r="G893" s="5" t="str">
        <f>VLOOKUP(F893,'[1]46974159BCSET2026'!$F:$AE,26,0)</f>
        <v>Sim</v>
      </c>
      <c r="H893" t="s">
        <v>3</v>
      </c>
      <c r="I893" s="3">
        <v>46276</v>
      </c>
      <c r="J893" t="s">
        <v>4</v>
      </c>
      <c r="K893" t="s">
        <v>119</v>
      </c>
      <c r="L893" t="s">
        <v>120</v>
      </c>
      <c r="M893" s="8">
        <v>-0.01</v>
      </c>
      <c r="N893" t="s">
        <v>0</v>
      </c>
      <c r="O893" t="s">
        <v>7</v>
      </c>
      <c r="P893" t="s">
        <v>8</v>
      </c>
    </row>
    <row r="894" spans="1:16" ht="13.95" customHeight="1" x14ac:dyDescent="0.25">
      <c r="A894" s="2" t="s">
        <v>0</v>
      </c>
      <c r="B894" t="s">
        <v>1</v>
      </c>
      <c r="C894" s="3">
        <v>46276</v>
      </c>
      <c r="D894" t="s">
        <v>2</v>
      </c>
      <c r="E894" t="s">
        <v>0</v>
      </c>
      <c r="F894" s="5">
        <v>122789</v>
      </c>
      <c r="G894" s="5" t="str">
        <f>VLOOKUP(F894,'[1]46974159BCSET2026'!$F:$AE,26,0)</f>
        <v>Sim</v>
      </c>
      <c r="H894" t="s">
        <v>3</v>
      </c>
      <c r="I894" s="3">
        <v>46276</v>
      </c>
      <c r="J894" t="s">
        <v>4</v>
      </c>
      <c r="K894" t="s">
        <v>778</v>
      </c>
      <c r="L894" t="s">
        <v>779</v>
      </c>
      <c r="M894" s="8">
        <v>-0.01</v>
      </c>
      <c r="N894" t="s">
        <v>0</v>
      </c>
      <c r="O894" t="s">
        <v>7</v>
      </c>
      <c r="P894" t="s">
        <v>8</v>
      </c>
    </row>
    <row r="895" spans="1:16" ht="13.95" hidden="1" customHeight="1" x14ac:dyDescent="0.25">
      <c r="A895" s="2" t="s">
        <v>0</v>
      </c>
      <c r="B895" t="s">
        <v>1</v>
      </c>
      <c r="C895" s="3">
        <v>46275</v>
      </c>
      <c r="D895" t="s">
        <v>19</v>
      </c>
      <c r="E895" t="s">
        <v>0</v>
      </c>
      <c r="F895" s="5">
        <v>0</v>
      </c>
      <c r="G895" s="5" t="e">
        <f>VLOOKUP(F895,'[1]46974159BCSET2026'!$F:$AE,26,0)</f>
        <v>#N/A</v>
      </c>
      <c r="H895" t="s">
        <v>3</v>
      </c>
      <c r="I895" s="3">
        <v>46275</v>
      </c>
      <c r="J895" t="s">
        <v>1281</v>
      </c>
      <c r="K895" t="s">
        <v>1290</v>
      </c>
      <c r="L895" t="s">
        <v>1283</v>
      </c>
      <c r="M895" s="8">
        <v>26348.31</v>
      </c>
      <c r="N895" t="s">
        <v>0</v>
      </c>
      <c r="O895" t="s">
        <v>7</v>
      </c>
      <c r="P895" t="s">
        <v>8</v>
      </c>
    </row>
    <row r="896" spans="1:16" ht="13.95" hidden="1" customHeight="1" x14ac:dyDescent="0.25">
      <c r="A896" s="2" t="s">
        <v>0</v>
      </c>
      <c r="B896" t="s">
        <v>1</v>
      </c>
      <c r="C896" s="3">
        <v>46275</v>
      </c>
      <c r="D896" t="s">
        <v>19</v>
      </c>
      <c r="E896" t="s">
        <v>0</v>
      </c>
      <c r="F896" s="5">
        <v>0</v>
      </c>
      <c r="G896" s="5" t="e">
        <f>VLOOKUP(F896,'[1]46974159BCSET2026'!$F:$AE,26,0)</f>
        <v>#N/A</v>
      </c>
      <c r="H896" t="s">
        <v>3</v>
      </c>
      <c r="I896" s="3">
        <v>46275</v>
      </c>
      <c r="J896" t="s">
        <v>1281</v>
      </c>
      <c r="K896" t="s">
        <v>1291</v>
      </c>
      <c r="L896" t="s">
        <v>1283</v>
      </c>
      <c r="M896" s="8">
        <v>53201.24</v>
      </c>
      <c r="N896" t="s">
        <v>0</v>
      </c>
      <c r="O896" t="s">
        <v>7</v>
      </c>
      <c r="P896" t="s">
        <v>8</v>
      </c>
    </row>
    <row r="897" spans="1:16" ht="13.95" hidden="1" customHeight="1" x14ac:dyDescent="0.25">
      <c r="A897" s="2" t="s">
        <v>0</v>
      </c>
      <c r="B897" t="s">
        <v>1</v>
      </c>
      <c r="C897" s="3">
        <v>46276</v>
      </c>
      <c r="D897" t="s">
        <v>2</v>
      </c>
      <c r="E897" t="s">
        <v>0</v>
      </c>
      <c r="F897" t="s">
        <v>1287</v>
      </c>
      <c r="G897" s="5" t="e">
        <f>VLOOKUP(F897,'[1]46974159BCSET2026'!$F:$AE,26,0)</f>
        <v>#N/A</v>
      </c>
      <c r="H897" t="s">
        <v>3</v>
      </c>
      <c r="I897" s="3">
        <v>46276</v>
      </c>
      <c r="J897" t="s">
        <v>1279</v>
      </c>
      <c r="K897" t="s">
        <v>1288</v>
      </c>
      <c r="L897" t="s">
        <v>82</v>
      </c>
      <c r="M897" s="8">
        <v>10102.040000000001</v>
      </c>
      <c r="N897" t="s">
        <v>0</v>
      </c>
      <c r="O897" t="s">
        <v>7</v>
      </c>
      <c r="P897" t="s">
        <v>8</v>
      </c>
    </row>
    <row r="898" spans="1:16" ht="13.95" hidden="1" customHeight="1" x14ac:dyDescent="0.25">
      <c r="A898" s="2" t="s">
        <v>0</v>
      </c>
      <c r="B898" t="s">
        <v>1</v>
      </c>
      <c r="C898" s="3">
        <v>46276</v>
      </c>
      <c r="D898" t="s">
        <v>2</v>
      </c>
      <c r="E898" t="s">
        <v>0</v>
      </c>
      <c r="F898" t="s">
        <v>1278</v>
      </c>
      <c r="G898" s="5" t="e">
        <f>VLOOKUP(F898,'[1]46974159BCSET2026'!$F:$AE,26,0)</f>
        <v>#N/A</v>
      </c>
      <c r="H898" t="s">
        <v>3</v>
      </c>
      <c r="I898" s="3">
        <v>46276</v>
      </c>
      <c r="J898" t="s">
        <v>1279</v>
      </c>
      <c r="K898" t="s">
        <v>1280</v>
      </c>
      <c r="L898" t="s">
        <v>258</v>
      </c>
      <c r="M898" s="8">
        <v>155.1</v>
      </c>
      <c r="N898" t="s">
        <v>0</v>
      </c>
      <c r="O898" t="s">
        <v>7</v>
      </c>
      <c r="P898" t="s">
        <v>8</v>
      </c>
    </row>
    <row r="899" spans="1:16" ht="13.95" hidden="1" customHeight="1" x14ac:dyDescent="0.25">
      <c r="A899" s="2" t="s">
        <v>0</v>
      </c>
      <c r="B899" t="s">
        <v>1</v>
      </c>
      <c r="C899" s="3">
        <v>46276</v>
      </c>
      <c r="D899" t="s">
        <v>2</v>
      </c>
      <c r="E899" t="s">
        <v>0</v>
      </c>
      <c r="F899" t="s">
        <v>1278</v>
      </c>
      <c r="G899" s="5" t="e">
        <f>VLOOKUP(F899,'[1]46974159BCSET2026'!$F:$AE,26,0)</f>
        <v>#N/A</v>
      </c>
      <c r="H899" t="s">
        <v>3</v>
      </c>
      <c r="I899" s="3">
        <v>46276</v>
      </c>
      <c r="J899" t="s">
        <v>1279</v>
      </c>
      <c r="K899" t="s">
        <v>1280</v>
      </c>
      <c r="L899" t="s">
        <v>258</v>
      </c>
      <c r="M899" s="8">
        <v>3602.62</v>
      </c>
      <c r="N899" t="s">
        <v>0</v>
      </c>
      <c r="O899" t="s">
        <v>7</v>
      </c>
      <c r="P899" t="s">
        <v>8</v>
      </c>
    </row>
    <row r="900" spans="1:16" ht="13.95" hidden="1" customHeight="1" x14ac:dyDescent="0.25">
      <c r="A900" s="2" t="s">
        <v>0</v>
      </c>
      <c r="B900" t="s">
        <v>1</v>
      </c>
      <c r="C900" s="3">
        <v>46276</v>
      </c>
      <c r="D900" t="s">
        <v>2</v>
      </c>
      <c r="E900" t="s">
        <v>0</v>
      </c>
      <c r="F900" t="s">
        <v>173</v>
      </c>
      <c r="G900" s="5" t="e">
        <f>VLOOKUP(F900,'[1]46974159BCSET2026'!$F:$AE,26,0)</f>
        <v>#N/A</v>
      </c>
      <c r="H900" t="s">
        <v>3</v>
      </c>
      <c r="I900" s="3">
        <v>46276</v>
      </c>
      <c r="J900" t="s">
        <v>4</v>
      </c>
      <c r="K900" t="s">
        <v>174</v>
      </c>
      <c r="L900" t="s">
        <v>175</v>
      </c>
      <c r="M900" s="8">
        <v>-4508.28</v>
      </c>
      <c r="N900" t="s">
        <v>0</v>
      </c>
      <c r="O900" t="s">
        <v>7</v>
      </c>
      <c r="P900" t="s">
        <v>8</v>
      </c>
    </row>
    <row r="901" spans="1:16" ht="13.95" hidden="1" customHeight="1" x14ac:dyDescent="0.25">
      <c r="A901" s="2" t="s">
        <v>0</v>
      </c>
      <c r="B901" t="s">
        <v>1</v>
      </c>
      <c r="C901" s="3">
        <v>46276</v>
      </c>
      <c r="D901" t="s">
        <v>2</v>
      </c>
      <c r="E901" t="s">
        <v>0</v>
      </c>
      <c r="F901" t="s">
        <v>173</v>
      </c>
      <c r="G901" s="5" t="e">
        <f>VLOOKUP(F901,'[1]46974159BCSET2026'!$F:$AE,26,0)</f>
        <v>#N/A</v>
      </c>
      <c r="H901" t="s">
        <v>3</v>
      </c>
      <c r="I901" s="3">
        <v>46276</v>
      </c>
      <c r="J901" t="s">
        <v>4</v>
      </c>
      <c r="K901" t="s">
        <v>174</v>
      </c>
      <c r="L901" t="s">
        <v>175</v>
      </c>
      <c r="M901" s="8">
        <v>-1400.25</v>
      </c>
      <c r="N901" t="s">
        <v>0</v>
      </c>
      <c r="O901" t="s">
        <v>7</v>
      </c>
      <c r="P901" t="s">
        <v>8</v>
      </c>
    </row>
    <row r="902" spans="1:16" ht="13.95" hidden="1" customHeight="1" x14ac:dyDescent="0.25">
      <c r="A902" s="2" t="s">
        <v>0</v>
      </c>
      <c r="B902" t="s">
        <v>1</v>
      </c>
      <c r="C902" s="3">
        <v>46276</v>
      </c>
      <c r="D902" t="s">
        <v>2</v>
      </c>
      <c r="E902" t="s">
        <v>0</v>
      </c>
      <c r="F902" t="s">
        <v>173</v>
      </c>
      <c r="G902" s="5" t="e">
        <f>VLOOKUP(F902,'[1]46974159BCSET2026'!$F:$AE,26,0)</f>
        <v>#N/A</v>
      </c>
      <c r="H902" t="s">
        <v>3</v>
      </c>
      <c r="I902" s="3">
        <v>46276</v>
      </c>
      <c r="J902" t="s">
        <v>1279</v>
      </c>
      <c r="K902" t="s">
        <v>1284</v>
      </c>
      <c r="L902" t="s">
        <v>175</v>
      </c>
      <c r="M902" s="8">
        <v>1400.25</v>
      </c>
      <c r="N902" t="s">
        <v>0</v>
      </c>
      <c r="O902" t="s">
        <v>7</v>
      </c>
      <c r="P902" t="s">
        <v>8</v>
      </c>
    </row>
    <row r="903" spans="1:16" ht="13.95" hidden="1" customHeight="1" x14ac:dyDescent="0.25">
      <c r="A903" s="2" t="s">
        <v>0</v>
      </c>
      <c r="B903" t="s">
        <v>1</v>
      </c>
      <c r="C903" s="3">
        <v>46276</v>
      </c>
      <c r="D903" t="s">
        <v>2</v>
      </c>
      <c r="E903" t="s">
        <v>0</v>
      </c>
      <c r="F903" t="s">
        <v>173</v>
      </c>
      <c r="G903" s="5" t="e">
        <f>VLOOKUP(F903,'[1]46974159BCSET2026'!$F:$AE,26,0)</f>
        <v>#N/A</v>
      </c>
      <c r="H903" t="s">
        <v>3</v>
      </c>
      <c r="I903" s="3">
        <v>46276</v>
      </c>
      <c r="J903" t="s">
        <v>1279</v>
      </c>
      <c r="K903" t="s">
        <v>1284</v>
      </c>
      <c r="L903" t="s">
        <v>175</v>
      </c>
      <c r="M903" s="8">
        <v>4508.28</v>
      </c>
      <c r="N903" t="s">
        <v>0</v>
      </c>
      <c r="O903" t="s">
        <v>7</v>
      </c>
      <c r="P903" t="s">
        <v>8</v>
      </c>
    </row>
    <row r="904" spans="1:16" ht="13.95" hidden="1" customHeight="1" x14ac:dyDescent="0.25">
      <c r="A904" s="2" t="s">
        <v>0</v>
      </c>
      <c r="B904" t="s">
        <v>1</v>
      </c>
      <c r="C904" s="3">
        <v>46276</v>
      </c>
      <c r="D904" t="s">
        <v>2</v>
      </c>
      <c r="E904" t="s">
        <v>0</v>
      </c>
      <c r="F904" t="s">
        <v>1285</v>
      </c>
      <c r="G904" s="5" t="e">
        <f>VLOOKUP(F904,'[1]46974159BCSET2026'!$F:$AE,26,0)</f>
        <v>#N/A</v>
      </c>
      <c r="H904" t="s">
        <v>3</v>
      </c>
      <c r="I904" s="3">
        <v>46276</v>
      </c>
      <c r="J904" t="s">
        <v>1279</v>
      </c>
      <c r="K904" t="s">
        <v>1286</v>
      </c>
      <c r="L904" t="s">
        <v>270</v>
      </c>
      <c r="M904" s="8">
        <v>3196.73</v>
      </c>
      <c r="N904" t="s">
        <v>0</v>
      </c>
      <c r="O904" t="s">
        <v>7</v>
      </c>
      <c r="P904" t="s">
        <v>8</v>
      </c>
    </row>
  </sheetData>
  <autoFilter ref="A1:P904" xr:uid="{00000000-0001-0000-0000-000000000000}">
    <filterColumn colId="6">
      <filters>
        <filter val="Sim"/>
      </filters>
    </filterColumn>
    <sortState xmlns:xlrd2="http://schemas.microsoft.com/office/spreadsheetml/2017/richdata2" ref="A118:P904">
      <sortCondition descending="1" ref="L1:L904"/>
    </sortState>
  </autoFilter>
  <phoneticPr fontId="0" type="noConversion"/>
  <pageMargins left="0.75" right="0.75" top="1" bottom="1" header="0.5" footer="0.5"/>
  <headerFooter alignWithMargins="0">
    <oddFooter>&amp;R_x000D_&amp;1#&amp;"Aptos"&amp;10&amp;K000000 INFORMAÇÃO INTERNA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STEPHANY LIMA DE LISBOA</cp:lastModifiedBy>
  <cp:revision>1</cp:revision>
  <dcterms:created xsi:type="dcterms:W3CDTF">2026-09-16T17:59:31Z</dcterms:created>
  <dcterms:modified xsi:type="dcterms:W3CDTF">2026-09-16T17:59:31Z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b807ee-9361-45b4-9023-8508506e50fb_Enabled">
    <vt:lpwstr>true</vt:lpwstr>
  </property>
  <property fmtid="{D5CDD505-2E9C-101B-9397-08002B2CF9AE}" pid="3" name="MSIP_Label_23b807ee-9361-45b4-9023-8508506e50fb_SetDate">
    <vt:lpwstr>2026-09-16T17:59:21Z</vt:lpwstr>
  </property>
  <property fmtid="{D5CDD505-2E9C-101B-9397-08002B2CF9AE}" pid="4" name="MSIP_Label_23b807ee-9361-45b4-9023-8508506e50fb_Method">
    <vt:lpwstr>Standard</vt:lpwstr>
  </property>
  <property fmtid="{D5CDD505-2E9C-101B-9397-08002B2CF9AE}" pid="5" name="MSIP_Label_23b807ee-9361-45b4-9023-8508506e50fb_Name">
    <vt:lpwstr>23b807ee-9361-45b4-9023-8508506e50fb</vt:lpwstr>
  </property>
  <property fmtid="{D5CDD505-2E9C-101B-9397-08002B2CF9AE}" pid="6" name="MSIP_Label_23b807ee-9361-45b4-9023-8508506e50fb_SiteId">
    <vt:lpwstr>2e0fd3f1-c310-4812-9e4f-e2a25c4a159e</vt:lpwstr>
  </property>
  <property fmtid="{D5CDD505-2E9C-101B-9397-08002B2CF9AE}" pid="7" name="MSIP_Label_23b807ee-9361-45b4-9023-8508506e50fb_ActionId">
    <vt:lpwstr>9a5654a5-dd1d-46ad-9633-033b4c725167</vt:lpwstr>
  </property>
  <property fmtid="{D5CDD505-2E9C-101B-9397-08002B2CF9AE}" pid="8" name="MSIP_Label_23b807ee-9361-45b4-9023-8508506e50fb_ContentBits">
    <vt:lpwstr>2</vt:lpwstr>
  </property>
  <property fmtid="{D5CDD505-2E9C-101B-9397-08002B2CF9AE}" pid="9" name="MSIP_Label_23b807ee-9361-45b4-9023-8508506e50fb_Tag">
    <vt:lpwstr>10, 3, 0, 1</vt:lpwstr>
  </property>
</Properties>
</file>